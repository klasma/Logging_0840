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45582</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45582</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45582</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45582</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45582</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45582</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45582</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45582</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45582</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45582</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45582</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45582</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45582</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45582</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45582</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45582</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45582</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39320-2024</t>
        </is>
      </c>
      <c r="B19" s="1" t="n">
        <v>45551</v>
      </c>
      <c r="C19" s="1" t="n">
        <v>45582</v>
      </c>
      <c r="D19" t="inlineStr">
        <is>
          <t>KALMAR LÄN</t>
        </is>
      </c>
      <c r="E19" t="inlineStr">
        <is>
          <t>MÖRBYLÅNGA</t>
        </is>
      </c>
      <c r="G19" t="n">
        <v>3.3</v>
      </c>
      <c r="H19" t="n">
        <v>0</v>
      </c>
      <c r="I19" t="n">
        <v>2</v>
      </c>
      <c r="J19" t="n">
        <v>1</v>
      </c>
      <c r="K19" t="n">
        <v>1</v>
      </c>
      <c r="L19" t="n">
        <v>0</v>
      </c>
      <c r="M19" t="n">
        <v>0</v>
      </c>
      <c r="N19" t="n">
        <v>0</v>
      </c>
      <c r="O19" t="n">
        <v>2</v>
      </c>
      <c r="P19" t="n">
        <v>1</v>
      </c>
      <c r="Q19" t="n">
        <v>4</v>
      </c>
      <c r="R19" s="2" t="inlineStr">
        <is>
          <t>Toppjungfrulin
Korskovall
Underviol
Vårärt</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row>
    <row r="20" ht="15" customHeight="1">
      <c r="A20" t="inlineStr">
        <is>
          <t>A 9270-2020</t>
        </is>
      </c>
      <c r="B20" s="1" t="n">
        <v>43880</v>
      </c>
      <c r="C20" s="1" t="n">
        <v>45582</v>
      </c>
      <c r="D20" t="inlineStr">
        <is>
          <t>KALMAR LÄN</t>
        </is>
      </c>
      <c r="E20" t="inlineStr">
        <is>
          <t>MÖRBYLÅNGA</t>
        </is>
      </c>
      <c r="G20" t="n">
        <v>2.8</v>
      </c>
      <c r="H20" t="n">
        <v>1</v>
      </c>
      <c r="I20" t="n">
        <v>3</v>
      </c>
      <c r="J20" t="n">
        <v>0</v>
      </c>
      <c r="K20" t="n">
        <v>0</v>
      </c>
      <c r="L20" t="n">
        <v>0</v>
      </c>
      <c r="M20" t="n">
        <v>0</v>
      </c>
      <c r="N20" t="n">
        <v>0</v>
      </c>
      <c r="O20" t="n">
        <v>0</v>
      </c>
      <c r="P20" t="n">
        <v>0</v>
      </c>
      <c r="Q20" t="n">
        <v>3</v>
      </c>
      <c r="R20" s="2" t="inlineStr">
        <is>
          <t>Murgröna
Skogsknipprot
Strävlosta</t>
        </is>
      </c>
      <c r="S20">
        <f>HYPERLINK("https://klasma.github.io/Logging_0840/artfynd/A 9270-2020 artfynd.xlsx", "A 9270-2020")</f>
        <v/>
      </c>
      <c r="T20">
        <f>HYPERLINK("https://klasma.github.io/Logging_0840/kartor/A 9270-2020 karta.png", "A 9270-2020")</f>
        <v/>
      </c>
      <c r="V20">
        <f>HYPERLINK("https://klasma.github.io/Logging_0840/klagomål/A 9270-2020 FSC-klagomål.docx", "A 9270-2020")</f>
        <v/>
      </c>
      <c r="W20">
        <f>HYPERLINK("https://klasma.github.io/Logging_0840/klagomålsmail/A 9270-2020 FSC-klagomål mail.docx", "A 9270-2020")</f>
        <v/>
      </c>
      <c r="X20">
        <f>HYPERLINK("https://klasma.github.io/Logging_0840/tillsyn/A 9270-2020 tillsynsbegäran.docx", "A 9270-2020")</f>
        <v/>
      </c>
      <c r="Y20">
        <f>HYPERLINK("https://klasma.github.io/Logging_0840/tillsynsmail/A 9270-2020 tillsynsbegäran mail.docx", "A 9270-2020")</f>
        <v/>
      </c>
    </row>
    <row r="21" ht="15" customHeight="1">
      <c r="A21" t="inlineStr">
        <is>
          <t>A 57704-2020</t>
        </is>
      </c>
      <c r="B21" s="1" t="n">
        <v>44140</v>
      </c>
      <c r="C21" s="1" t="n">
        <v>45582</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21219-2023</t>
        </is>
      </c>
      <c r="B22" s="1" t="n">
        <v>45062</v>
      </c>
      <c r="C22" s="1" t="n">
        <v>45582</v>
      </c>
      <c r="D22" t="inlineStr">
        <is>
          <t>KALMAR LÄN</t>
        </is>
      </c>
      <c r="E22" t="inlineStr">
        <is>
          <t>MÖRBYLÅNGA</t>
        </is>
      </c>
      <c r="G22" t="n">
        <v>3.6</v>
      </c>
      <c r="H22" t="n">
        <v>2</v>
      </c>
      <c r="I22" t="n">
        <v>1</v>
      </c>
      <c r="J22" t="n">
        <v>1</v>
      </c>
      <c r="K22" t="n">
        <v>0</v>
      </c>
      <c r="L22" t="n">
        <v>0</v>
      </c>
      <c r="M22" t="n">
        <v>0</v>
      </c>
      <c r="N22" t="n">
        <v>0</v>
      </c>
      <c r="O22" t="n">
        <v>1</v>
      </c>
      <c r="P22" t="n">
        <v>0</v>
      </c>
      <c r="Q22" t="n">
        <v>3</v>
      </c>
      <c r="R22" s="2" t="inlineStr">
        <is>
          <t>Spillkråka
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c r="Z22">
        <f>HYPERLINK("https://klasma.github.io/Logging_0840/fåglar/A 21219-2023 prioriterade fågelarter.docx", "A 21219-2023")</f>
        <v/>
      </c>
    </row>
    <row r="23" ht="15" customHeight="1">
      <c r="A23" t="inlineStr">
        <is>
          <t>A 35242-2024</t>
        </is>
      </c>
      <c r="B23" s="1" t="n">
        <v>45530</v>
      </c>
      <c r="C23" s="1" t="n">
        <v>45582</v>
      </c>
      <c r="D23" t="inlineStr">
        <is>
          <t>KALMAR LÄN</t>
        </is>
      </c>
      <c r="E23" t="inlineStr">
        <is>
          <t>MÖRBYLÅNGA</t>
        </is>
      </c>
      <c r="G23" t="n">
        <v>0.9</v>
      </c>
      <c r="H23" t="n">
        <v>1</v>
      </c>
      <c r="I23" t="n">
        <v>2</v>
      </c>
      <c r="J23" t="n">
        <v>0</v>
      </c>
      <c r="K23" t="n">
        <v>0</v>
      </c>
      <c r="L23" t="n">
        <v>1</v>
      </c>
      <c r="M23" t="n">
        <v>0</v>
      </c>
      <c r="N23" t="n">
        <v>0</v>
      </c>
      <c r="O23" t="n">
        <v>1</v>
      </c>
      <c r="P23" t="n">
        <v>1</v>
      </c>
      <c r="Q23" t="n">
        <v>3</v>
      </c>
      <c r="R23" s="2" t="inlineStr">
        <is>
          <t>Ryl
Grönpyrola
Skogsknipprot</t>
        </is>
      </c>
      <c r="S23">
        <f>HYPERLINK("https://klasma.github.io/Logging_0840/artfynd/A 35242-2024 artfynd.xlsx", "A 35242-2024")</f>
        <v/>
      </c>
      <c r="T23">
        <f>HYPERLINK("https://klasma.github.io/Logging_0840/kartor/A 35242-2024 karta.png", "A 35242-2024")</f>
        <v/>
      </c>
      <c r="V23">
        <f>HYPERLINK("https://klasma.github.io/Logging_0840/klagomål/A 35242-2024 FSC-klagomål.docx", "A 35242-2024")</f>
        <v/>
      </c>
      <c r="W23">
        <f>HYPERLINK("https://klasma.github.io/Logging_0840/klagomålsmail/A 35242-2024 FSC-klagomål mail.docx", "A 35242-2024")</f>
        <v/>
      </c>
      <c r="X23">
        <f>HYPERLINK("https://klasma.github.io/Logging_0840/tillsyn/A 35242-2024 tillsynsbegäran.docx", "A 35242-2024")</f>
        <v/>
      </c>
      <c r="Y23">
        <f>HYPERLINK("https://klasma.github.io/Logging_0840/tillsynsmail/A 35242-2024 tillsynsbegäran mail.docx", "A 35242-2024")</f>
        <v/>
      </c>
    </row>
    <row r="24" ht="15" customHeight="1">
      <c r="A24" t="inlineStr">
        <is>
          <t>A 3975-2021</t>
        </is>
      </c>
      <c r="B24" s="1" t="n">
        <v>44222</v>
      </c>
      <c r="C24" s="1" t="n">
        <v>45582</v>
      </c>
      <c r="D24" t="inlineStr">
        <is>
          <t>KALMAR LÄN</t>
        </is>
      </c>
      <c r="E24" t="inlineStr">
        <is>
          <t>MÖRBYLÅNGA</t>
        </is>
      </c>
      <c r="G24" t="n">
        <v>6</v>
      </c>
      <c r="H24" t="n">
        <v>0</v>
      </c>
      <c r="I24" t="n">
        <v>1</v>
      </c>
      <c r="J24" t="n">
        <v>0</v>
      </c>
      <c r="K24" t="n">
        <v>0</v>
      </c>
      <c r="L24" t="n">
        <v>0</v>
      </c>
      <c r="M24" t="n">
        <v>1</v>
      </c>
      <c r="N24" t="n">
        <v>0</v>
      </c>
      <c r="O24" t="n">
        <v>1</v>
      </c>
      <c r="P24" t="n">
        <v>1</v>
      </c>
      <c r="Q24" t="n">
        <v>2</v>
      </c>
      <c r="R24" s="2" t="inlineStr">
        <is>
          <t>Järnek
Sårläka</t>
        </is>
      </c>
      <c r="S24">
        <f>HYPERLINK("https://klasma.github.io/Logging_0840/artfynd/A 3975-2021 artfynd.xlsx", "A 3975-2021")</f>
        <v/>
      </c>
      <c r="T24">
        <f>HYPERLINK("https://klasma.github.io/Logging_0840/kartor/A 3975-2021 karta.png", "A 3975-2021")</f>
        <v/>
      </c>
      <c r="V24">
        <f>HYPERLINK("https://klasma.github.io/Logging_0840/klagomål/A 3975-2021 FSC-klagomål.docx", "A 3975-2021")</f>
        <v/>
      </c>
      <c r="W24">
        <f>HYPERLINK("https://klasma.github.io/Logging_0840/klagomålsmail/A 3975-2021 FSC-klagomål mail.docx", "A 3975-2021")</f>
        <v/>
      </c>
      <c r="X24">
        <f>HYPERLINK("https://klasma.github.io/Logging_0840/tillsyn/A 3975-2021 tillsynsbegäran.docx", "A 3975-2021")</f>
        <v/>
      </c>
      <c r="Y24">
        <f>HYPERLINK("https://klasma.github.io/Logging_0840/tillsynsmail/A 3975-2021 tillsynsbegäran mail.docx", "A 3975-2021")</f>
        <v/>
      </c>
    </row>
    <row r="25" ht="15" customHeight="1">
      <c r="A25" t="inlineStr">
        <is>
          <t>A 52906-2021</t>
        </is>
      </c>
      <c r="B25" s="1" t="n">
        <v>44467</v>
      </c>
      <c r="C25" s="1" t="n">
        <v>45582</v>
      </c>
      <c r="D25" t="inlineStr">
        <is>
          <t>KALMAR LÄN</t>
        </is>
      </c>
      <c r="E25" t="inlineStr">
        <is>
          <t>MÖRBYLÅNGA</t>
        </is>
      </c>
      <c r="G25" t="n">
        <v>2.1</v>
      </c>
      <c r="H25" t="n">
        <v>2</v>
      </c>
      <c r="I25" t="n">
        <v>0</v>
      </c>
      <c r="J25" t="n">
        <v>2</v>
      </c>
      <c r="K25" t="n">
        <v>0</v>
      </c>
      <c r="L25" t="n">
        <v>0</v>
      </c>
      <c r="M25" t="n">
        <v>0</v>
      </c>
      <c r="N25" t="n">
        <v>0</v>
      </c>
      <c r="O25" t="n">
        <v>2</v>
      </c>
      <c r="P25" t="n">
        <v>0</v>
      </c>
      <c r="Q25" t="n">
        <v>2</v>
      </c>
      <c r="R25" s="2" t="inlineStr">
        <is>
          <t>Gulsparv
Rödvingetrast</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40361-2023</t>
        </is>
      </c>
      <c r="B26" s="1" t="n">
        <v>45169</v>
      </c>
      <c r="C26" s="1" t="n">
        <v>45582</v>
      </c>
      <c r="D26" t="inlineStr">
        <is>
          <t>KALMAR LÄN</t>
        </is>
      </c>
      <c r="E26" t="inlineStr">
        <is>
          <t>MÖRBYLÅNGA</t>
        </is>
      </c>
      <c r="G26" t="n">
        <v>1.1</v>
      </c>
      <c r="H26" t="n">
        <v>0</v>
      </c>
      <c r="I26" t="n">
        <v>0</v>
      </c>
      <c r="J26" t="n">
        <v>1</v>
      </c>
      <c r="K26" t="n">
        <v>0</v>
      </c>
      <c r="L26" t="n">
        <v>0</v>
      </c>
      <c r="M26" t="n">
        <v>1</v>
      </c>
      <c r="N26" t="n">
        <v>0</v>
      </c>
      <c r="O26" t="n">
        <v>2</v>
      </c>
      <c r="P26" t="n">
        <v>1</v>
      </c>
      <c r="Q26" t="n">
        <v>2</v>
      </c>
      <c r="R26" s="2" t="inlineStr">
        <is>
          <t>Lundalm
Ängsskära</t>
        </is>
      </c>
      <c r="S26">
        <f>HYPERLINK("https://klasma.github.io/Logging_0840/artfynd/A 40361-2023 artfynd.xlsx", "A 40361-2023")</f>
        <v/>
      </c>
      <c r="T26">
        <f>HYPERLINK("https://klasma.github.io/Logging_0840/kartor/A 40361-2023 karta.png", "A 40361-2023")</f>
        <v/>
      </c>
      <c r="V26">
        <f>HYPERLINK("https://klasma.github.io/Logging_0840/klagomål/A 40361-2023 FSC-klagomål.docx", "A 40361-2023")</f>
        <v/>
      </c>
      <c r="W26">
        <f>HYPERLINK("https://klasma.github.io/Logging_0840/klagomålsmail/A 40361-2023 FSC-klagomål mail.docx", "A 40361-2023")</f>
        <v/>
      </c>
      <c r="X26">
        <f>HYPERLINK("https://klasma.github.io/Logging_0840/tillsyn/A 40361-2023 tillsynsbegäran.docx", "A 40361-2023")</f>
        <v/>
      </c>
      <c r="Y26">
        <f>HYPERLINK("https://klasma.github.io/Logging_0840/tillsynsmail/A 40361-2023 tillsynsbegäran mail.docx", "A 40361-2023")</f>
        <v/>
      </c>
    </row>
    <row r="27" ht="15" customHeight="1">
      <c r="A27" t="inlineStr">
        <is>
          <t>A 62231-2023</t>
        </is>
      </c>
      <c r="B27" s="1" t="n">
        <v>45267</v>
      </c>
      <c r="C27" s="1" t="n">
        <v>45582</v>
      </c>
      <c r="D27" t="inlineStr">
        <is>
          <t>KALMAR LÄN</t>
        </is>
      </c>
      <c r="E27" t="inlineStr">
        <is>
          <t>MÖRBYLÅNGA</t>
        </is>
      </c>
      <c r="G27" t="n">
        <v>1.6</v>
      </c>
      <c r="H27" t="n">
        <v>1</v>
      </c>
      <c r="I27" t="n">
        <v>1</v>
      </c>
      <c r="J27" t="n">
        <v>0</v>
      </c>
      <c r="K27" t="n">
        <v>0</v>
      </c>
      <c r="L27" t="n">
        <v>0</v>
      </c>
      <c r="M27" t="n">
        <v>0</v>
      </c>
      <c r="N27" t="n">
        <v>0</v>
      </c>
      <c r="O27" t="n">
        <v>0</v>
      </c>
      <c r="P27" t="n">
        <v>0</v>
      </c>
      <c r="Q27" t="n">
        <v>2</v>
      </c>
      <c r="R27" s="2" t="inlineStr">
        <is>
          <t>Murgröna
Blåsippa</t>
        </is>
      </c>
      <c r="S27">
        <f>HYPERLINK("https://klasma.github.io/Logging_0840/artfynd/A 62231-2023 artfynd.xlsx", "A 62231-2023")</f>
        <v/>
      </c>
      <c r="T27">
        <f>HYPERLINK("https://klasma.github.io/Logging_0840/kartor/A 62231-2023 karta.png", "A 62231-2023")</f>
        <v/>
      </c>
      <c r="V27">
        <f>HYPERLINK("https://klasma.github.io/Logging_0840/klagomål/A 62231-2023 FSC-klagomål.docx", "A 62231-2023")</f>
        <v/>
      </c>
      <c r="W27">
        <f>HYPERLINK("https://klasma.github.io/Logging_0840/klagomålsmail/A 62231-2023 FSC-klagomål mail.docx", "A 62231-2023")</f>
        <v/>
      </c>
      <c r="X27">
        <f>HYPERLINK("https://klasma.github.io/Logging_0840/tillsyn/A 62231-2023 tillsynsbegäran.docx", "A 62231-2023")</f>
        <v/>
      </c>
      <c r="Y27">
        <f>HYPERLINK("https://klasma.github.io/Logging_0840/tillsynsmail/A 62231-2023 tillsynsbegäran mail.docx", "A 62231-2023")</f>
        <v/>
      </c>
    </row>
    <row r="28" ht="15" customHeight="1">
      <c r="A28" t="inlineStr">
        <is>
          <t>A 7667-2024</t>
        </is>
      </c>
      <c r="B28" s="1" t="n">
        <v>45348</v>
      </c>
      <c r="C28" s="1" t="n">
        <v>45582</v>
      </c>
      <c r="D28" t="inlineStr">
        <is>
          <t>KALMAR LÄN</t>
        </is>
      </c>
      <c r="E28" t="inlineStr">
        <is>
          <t>MÖRBYLÅNGA</t>
        </is>
      </c>
      <c r="G28" t="n">
        <v>3.8</v>
      </c>
      <c r="H28" t="n">
        <v>0</v>
      </c>
      <c r="I28" t="n">
        <v>1</v>
      </c>
      <c r="J28" t="n">
        <v>0</v>
      </c>
      <c r="K28" t="n">
        <v>0</v>
      </c>
      <c r="L28" t="n">
        <v>0</v>
      </c>
      <c r="M28" t="n">
        <v>1</v>
      </c>
      <c r="N28" t="n">
        <v>0</v>
      </c>
      <c r="O28" t="n">
        <v>1</v>
      </c>
      <c r="P28" t="n">
        <v>1</v>
      </c>
      <c r="Q28" t="n">
        <v>2</v>
      </c>
      <c r="R28" s="2" t="inlineStr">
        <is>
          <t>Järnek
Murgröna</t>
        </is>
      </c>
      <c r="S28">
        <f>HYPERLINK("https://klasma.github.io/Logging_0840/artfynd/A 7667-2024 artfynd.xlsx", "A 7667-2024")</f>
        <v/>
      </c>
      <c r="T28">
        <f>HYPERLINK("https://klasma.github.io/Logging_0840/kartor/A 7667-2024 karta.png", "A 7667-2024")</f>
        <v/>
      </c>
      <c r="V28">
        <f>HYPERLINK("https://klasma.github.io/Logging_0840/klagomål/A 7667-2024 FSC-klagomål.docx", "A 7667-2024")</f>
        <v/>
      </c>
      <c r="W28">
        <f>HYPERLINK("https://klasma.github.io/Logging_0840/klagomålsmail/A 7667-2024 FSC-klagomål mail.docx", "A 7667-2024")</f>
        <v/>
      </c>
      <c r="X28">
        <f>HYPERLINK("https://klasma.github.io/Logging_0840/tillsyn/A 7667-2024 tillsynsbegäran.docx", "A 7667-2024")</f>
        <v/>
      </c>
      <c r="Y28">
        <f>HYPERLINK("https://klasma.github.io/Logging_0840/tillsynsmail/A 7667-2024 tillsynsbegäran mail.docx", "A 7667-2024")</f>
        <v/>
      </c>
    </row>
    <row r="29" ht="15" customHeight="1">
      <c r="A29" t="inlineStr">
        <is>
          <t>A 39367-2019</t>
        </is>
      </c>
      <c r="B29" s="1" t="n">
        <v>43690</v>
      </c>
      <c r="C29" s="1" t="n">
        <v>45582</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45582</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45582</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45582</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45582</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45582</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45582</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45582</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45582</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45582</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24851-2019</t>
        </is>
      </c>
      <c r="B39" s="1" t="n">
        <v>43602</v>
      </c>
      <c r="C39" s="1" t="n">
        <v>45582</v>
      </c>
      <c r="D39" t="inlineStr">
        <is>
          <t>KALMAR LÄN</t>
        </is>
      </c>
      <c r="E39" t="inlineStr">
        <is>
          <t>MÖRBYLÅNGA</t>
        </is>
      </c>
      <c r="G39" t="n">
        <v>2</v>
      </c>
      <c r="H39" t="n">
        <v>0</v>
      </c>
      <c r="I39" t="n">
        <v>0</v>
      </c>
      <c r="J39" t="n">
        <v>0</v>
      </c>
      <c r="K39" t="n">
        <v>0</v>
      </c>
      <c r="L39" t="n">
        <v>0</v>
      </c>
      <c r="M39" t="n">
        <v>0</v>
      </c>
      <c r="N39" t="n">
        <v>0</v>
      </c>
      <c r="O39" t="n">
        <v>0</v>
      </c>
      <c r="P39" t="n">
        <v>0</v>
      </c>
      <c r="Q39" t="n">
        <v>0</v>
      </c>
      <c r="R39" s="2" t="inlineStr"/>
    </row>
    <row r="40" ht="15" customHeight="1">
      <c r="A40" t="inlineStr">
        <is>
          <t>A 26563-2019</t>
        </is>
      </c>
      <c r="B40" s="1" t="n">
        <v>43612</v>
      </c>
      <c r="C40" s="1" t="n">
        <v>45582</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33750-2019</t>
        </is>
      </c>
      <c r="B41" s="1" t="n">
        <v>43644</v>
      </c>
      <c r="C41" s="1" t="n">
        <v>45582</v>
      </c>
      <c r="D41" t="inlineStr">
        <is>
          <t>KALMAR LÄN</t>
        </is>
      </c>
      <c r="E41" t="inlineStr">
        <is>
          <t>MÖRBYLÅNGA</t>
        </is>
      </c>
      <c r="G41" t="n">
        <v>2.4</v>
      </c>
      <c r="H41" t="n">
        <v>0</v>
      </c>
      <c r="I41" t="n">
        <v>0</v>
      </c>
      <c r="J41" t="n">
        <v>0</v>
      </c>
      <c r="K41" t="n">
        <v>0</v>
      </c>
      <c r="L41" t="n">
        <v>0</v>
      </c>
      <c r="M41" t="n">
        <v>0</v>
      </c>
      <c r="N41" t="n">
        <v>0</v>
      </c>
      <c r="O41" t="n">
        <v>0</v>
      </c>
      <c r="P41" t="n">
        <v>0</v>
      </c>
      <c r="Q41" t="n">
        <v>0</v>
      </c>
      <c r="R41" s="2" t="inlineStr"/>
    </row>
    <row r="42" ht="15" customHeight="1">
      <c r="A42" t="inlineStr">
        <is>
          <t>A 47897-2019</t>
        </is>
      </c>
      <c r="B42" s="1" t="n">
        <v>43725</v>
      </c>
      <c r="C42" s="1" t="n">
        <v>45582</v>
      </c>
      <c r="D42" t="inlineStr">
        <is>
          <t>KALMAR LÄN</t>
        </is>
      </c>
      <c r="E42" t="inlineStr">
        <is>
          <t>MÖRBYLÅNGA</t>
        </is>
      </c>
      <c r="G42" t="n">
        <v>2.1</v>
      </c>
      <c r="H42" t="n">
        <v>0</v>
      </c>
      <c r="I42" t="n">
        <v>0</v>
      </c>
      <c r="J42" t="n">
        <v>0</v>
      </c>
      <c r="K42" t="n">
        <v>0</v>
      </c>
      <c r="L42" t="n">
        <v>0</v>
      </c>
      <c r="M42" t="n">
        <v>0</v>
      </c>
      <c r="N42" t="n">
        <v>0</v>
      </c>
      <c r="O42" t="n">
        <v>0</v>
      </c>
      <c r="P42" t="n">
        <v>0</v>
      </c>
      <c r="Q42" t="n">
        <v>0</v>
      </c>
      <c r="R42" s="2" t="inlineStr"/>
    </row>
    <row r="43" ht="15" customHeight="1">
      <c r="A43" t="inlineStr">
        <is>
          <t>A 47870-2019</t>
        </is>
      </c>
      <c r="B43" s="1" t="n">
        <v>43725</v>
      </c>
      <c r="C43" s="1" t="n">
        <v>45582</v>
      </c>
      <c r="D43" t="inlineStr">
        <is>
          <t>KALMAR LÄN</t>
        </is>
      </c>
      <c r="E43" t="inlineStr">
        <is>
          <t>MÖRBYLÅNGA</t>
        </is>
      </c>
      <c r="G43" t="n">
        <v>8.6</v>
      </c>
      <c r="H43" t="n">
        <v>0</v>
      </c>
      <c r="I43" t="n">
        <v>0</v>
      </c>
      <c r="J43" t="n">
        <v>0</v>
      </c>
      <c r="K43" t="n">
        <v>0</v>
      </c>
      <c r="L43" t="n">
        <v>0</v>
      </c>
      <c r="M43" t="n">
        <v>0</v>
      </c>
      <c r="N43" t="n">
        <v>0</v>
      </c>
      <c r="O43" t="n">
        <v>0</v>
      </c>
      <c r="P43" t="n">
        <v>0</v>
      </c>
      <c r="Q43" t="n">
        <v>0</v>
      </c>
      <c r="R43" s="2" t="inlineStr"/>
    </row>
    <row r="44" ht="15" customHeight="1">
      <c r="A44" t="inlineStr">
        <is>
          <t>A 53552-2019</t>
        </is>
      </c>
      <c r="B44" s="1" t="n">
        <v>43749</v>
      </c>
      <c r="C44" s="1" t="n">
        <v>45582</v>
      </c>
      <c r="D44" t="inlineStr">
        <is>
          <t>KALMAR LÄN</t>
        </is>
      </c>
      <c r="E44" t="inlineStr">
        <is>
          <t>MÖRBYLÅNGA</t>
        </is>
      </c>
      <c r="G44" t="n">
        <v>0.5</v>
      </c>
      <c r="H44" t="n">
        <v>0</v>
      </c>
      <c r="I44" t="n">
        <v>0</v>
      </c>
      <c r="J44" t="n">
        <v>0</v>
      </c>
      <c r="K44" t="n">
        <v>0</v>
      </c>
      <c r="L44" t="n">
        <v>0</v>
      </c>
      <c r="M44" t="n">
        <v>0</v>
      </c>
      <c r="N44" t="n">
        <v>0</v>
      </c>
      <c r="O44" t="n">
        <v>0</v>
      </c>
      <c r="P44" t="n">
        <v>0</v>
      </c>
      <c r="Q44" t="n">
        <v>0</v>
      </c>
      <c r="R44" s="2" t="inlineStr"/>
    </row>
    <row r="45" ht="15" customHeight="1">
      <c r="A45" t="inlineStr">
        <is>
          <t>A 65941-2019</t>
        </is>
      </c>
      <c r="B45" s="1" t="n">
        <v>43801</v>
      </c>
      <c r="C45" s="1" t="n">
        <v>45582</v>
      </c>
      <c r="D45" t="inlineStr">
        <is>
          <t>KALMAR LÄN</t>
        </is>
      </c>
      <c r="E45" t="inlineStr">
        <is>
          <t>MÖRBYLÅNGA</t>
        </is>
      </c>
      <c r="G45" t="n">
        <v>1.6</v>
      </c>
      <c r="H45" t="n">
        <v>0</v>
      </c>
      <c r="I45" t="n">
        <v>0</v>
      </c>
      <c r="J45" t="n">
        <v>0</v>
      </c>
      <c r="K45" t="n">
        <v>0</v>
      </c>
      <c r="L45" t="n">
        <v>0</v>
      </c>
      <c r="M45" t="n">
        <v>0</v>
      </c>
      <c r="N45" t="n">
        <v>0</v>
      </c>
      <c r="O45" t="n">
        <v>0</v>
      </c>
      <c r="P45" t="n">
        <v>0</v>
      </c>
      <c r="Q45" t="n">
        <v>0</v>
      </c>
      <c r="R45" s="2" t="inlineStr"/>
    </row>
    <row r="46" ht="15" customHeight="1">
      <c r="A46" t="inlineStr">
        <is>
          <t>A 33675-2020</t>
        </is>
      </c>
      <c r="B46" s="1" t="n">
        <v>44026</v>
      </c>
      <c r="C46" s="1" t="n">
        <v>45582</v>
      </c>
      <c r="D46" t="inlineStr">
        <is>
          <t>KALMAR LÄN</t>
        </is>
      </c>
      <c r="E46" t="inlineStr">
        <is>
          <t>MÖRBYLÅNGA</t>
        </is>
      </c>
      <c r="G46" t="n">
        <v>4.8</v>
      </c>
      <c r="H46" t="n">
        <v>0</v>
      </c>
      <c r="I46" t="n">
        <v>0</v>
      </c>
      <c r="J46" t="n">
        <v>0</v>
      </c>
      <c r="K46" t="n">
        <v>0</v>
      </c>
      <c r="L46" t="n">
        <v>0</v>
      </c>
      <c r="M46" t="n">
        <v>0</v>
      </c>
      <c r="N46" t="n">
        <v>0</v>
      </c>
      <c r="O46" t="n">
        <v>0</v>
      </c>
      <c r="P46" t="n">
        <v>0</v>
      </c>
      <c r="Q46" t="n">
        <v>0</v>
      </c>
      <c r="R46" s="2" t="inlineStr"/>
    </row>
    <row r="47" ht="15" customHeight="1">
      <c r="A47" t="inlineStr">
        <is>
          <t>A 61865-2020</t>
        </is>
      </c>
      <c r="B47" s="1" t="n">
        <v>44155</v>
      </c>
      <c r="C47" s="1" t="n">
        <v>45582</v>
      </c>
      <c r="D47" t="inlineStr">
        <is>
          <t>KALMAR LÄN</t>
        </is>
      </c>
      <c r="E47" t="inlineStr">
        <is>
          <t>MÖRBYLÅNGA</t>
        </is>
      </c>
      <c r="G47" t="n">
        <v>5</v>
      </c>
      <c r="H47" t="n">
        <v>0</v>
      </c>
      <c r="I47" t="n">
        <v>0</v>
      </c>
      <c r="J47" t="n">
        <v>0</v>
      </c>
      <c r="K47" t="n">
        <v>0</v>
      </c>
      <c r="L47" t="n">
        <v>0</v>
      </c>
      <c r="M47" t="n">
        <v>0</v>
      </c>
      <c r="N47" t="n">
        <v>0</v>
      </c>
      <c r="O47" t="n">
        <v>0</v>
      </c>
      <c r="P47" t="n">
        <v>0</v>
      </c>
      <c r="Q47" t="n">
        <v>0</v>
      </c>
      <c r="R47" s="2" t="inlineStr"/>
    </row>
    <row r="48" ht="15" customHeight="1">
      <c r="A48" t="inlineStr">
        <is>
          <t>A 31716-2021</t>
        </is>
      </c>
      <c r="B48" s="1" t="n">
        <v>44369</v>
      </c>
      <c r="C48" s="1" t="n">
        <v>45582</v>
      </c>
      <c r="D48" t="inlineStr">
        <is>
          <t>KALMAR LÄN</t>
        </is>
      </c>
      <c r="E48" t="inlineStr">
        <is>
          <t>MÖRBYLÅNGA</t>
        </is>
      </c>
      <c r="G48" t="n">
        <v>3.6</v>
      </c>
      <c r="H48" t="n">
        <v>0</v>
      </c>
      <c r="I48" t="n">
        <v>0</v>
      </c>
      <c r="J48" t="n">
        <v>0</v>
      </c>
      <c r="K48" t="n">
        <v>0</v>
      </c>
      <c r="L48" t="n">
        <v>0</v>
      </c>
      <c r="M48" t="n">
        <v>0</v>
      </c>
      <c r="N48" t="n">
        <v>0</v>
      </c>
      <c r="O48" t="n">
        <v>0</v>
      </c>
      <c r="P48" t="n">
        <v>0</v>
      </c>
      <c r="Q48" t="n">
        <v>0</v>
      </c>
      <c r="R48" s="2" t="inlineStr"/>
    </row>
    <row r="49" ht="15" customHeight="1">
      <c r="A49" t="inlineStr">
        <is>
          <t>A 53047-2021</t>
        </is>
      </c>
      <c r="B49" s="1" t="n">
        <v>44467</v>
      </c>
      <c r="C49" s="1" t="n">
        <v>45582</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72167-2021</t>
        </is>
      </c>
      <c r="B50" s="1" t="n">
        <v>44544</v>
      </c>
      <c r="C50" s="1" t="n">
        <v>45582</v>
      </c>
      <c r="D50" t="inlineStr">
        <is>
          <t>KALMAR LÄN</t>
        </is>
      </c>
      <c r="E50" t="inlineStr">
        <is>
          <t>MÖRBYLÅNGA</t>
        </is>
      </c>
      <c r="G50" t="n">
        <v>3.5</v>
      </c>
      <c r="H50" t="n">
        <v>0</v>
      </c>
      <c r="I50" t="n">
        <v>0</v>
      </c>
      <c r="J50" t="n">
        <v>0</v>
      </c>
      <c r="K50" t="n">
        <v>0</v>
      </c>
      <c r="L50" t="n">
        <v>0</v>
      </c>
      <c r="M50" t="n">
        <v>0</v>
      </c>
      <c r="N50" t="n">
        <v>0</v>
      </c>
      <c r="O50" t="n">
        <v>0</v>
      </c>
      <c r="P50" t="n">
        <v>0</v>
      </c>
      <c r="Q50" t="n">
        <v>0</v>
      </c>
      <c r="R50" s="2" t="inlineStr"/>
    </row>
    <row r="51" ht="15" customHeight="1">
      <c r="A51" t="inlineStr">
        <is>
          <t>A 8999-2022</t>
        </is>
      </c>
      <c r="B51" s="1" t="n">
        <v>44614</v>
      </c>
      <c r="C51" s="1" t="n">
        <v>45582</v>
      </c>
      <c r="D51" t="inlineStr">
        <is>
          <t>KALMAR LÄN</t>
        </is>
      </c>
      <c r="E51" t="inlineStr">
        <is>
          <t>MÖRBYLÅNGA</t>
        </is>
      </c>
      <c r="F51" t="inlineStr">
        <is>
          <t>Kyrkan</t>
        </is>
      </c>
      <c r="G51" t="n">
        <v>0.8</v>
      </c>
      <c r="H51" t="n">
        <v>0</v>
      </c>
      <c r="I51" t="n">
        <v>0</v>
      </c>
      <c r="J51" t="n">
        <v>0</v>
      </c>
      <c r="K51" t="n">
        <v>0</v>
      </c>
      <c r="L51" t="n">
        <v>0</v>
      </c>
      <c r="M51" t="n">
        <v>0</v>
      </c>
      <c r="N51" t="n">
        <v>0</v>
      </c>
      <c r="O51" t="n">
        <v>0</v>
      </c>
      <c r="P51" t="n">
        <v>0</v>
      </c>
      <c r="Q51" t="n">
        <v>0</v>
      </c>
      <c r="R51" s="2" t="inlineStr"/>
    </row>
    <row r="52" ht="15" customHeight="1">
      <c r="A52" t="inlineStr">
        <is>
          <t>A 26876-2022</t>
        </is>
      </c>
      <c r="B52" s="1" t="n">
        <v>44740</v>
      </c>
      <c r="C52" s="1" t="n">
        <v>45582</v>
      </c>
      <c r="D52" t="inlineStr">
        <is>
          <t>KALMAR LÄN</t>
        </is>
      </c>
      <c r="E52" t="inlineStr">
        <is>
          <t>MÖRBYLÅNGA</t>
        </is>
      </c>
      <c r="G52" t="n">
        <v>0.7</v>
      </c>
      <c r="H52" t="n">
        <v>0</v>
      </c>
      <c r="I52" t="n">
        <v>0</v>
      </c>
      <c r="J52" t="n">
        <v>0</v>
      </c>
      <c r="K52" t="n">
        <v>0</v>
      </c>
      <c r="L52" t="n">
        <v>0</v>
      </c>
      <c r="M52" t="n">
        <v>0</v>
      </c>
      <c r="N52" t="n">
        <v>0</v>
      </c>
      <c r="O52" t="n">
        <v>0</v>
      </c>
      <c r="P52" t="n">
        <v>0</v>
      </c>
      <c r="Q52" t="n">
        <v>0</v>
      </c>
      <c r="R52" s="2" t="inlineStr"/>
    </row>
    <row r="53" ht="15" customHeight="1">
      <c r="A53" t="inlineStr">
        <is>
          <t>A 13384-2023</t>
        </is>
      </c>
      <c r="B53" s="1" t="n">
        <v>45005</v>
      </c>
      <c r="C53" s="1" t="n">
        <v>45582</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63676-2023</t>
        </is>
      </c>
      <c r="B54" s="1" t="n">
        <v>45275</v>
      </c>
      <c r="C54" s="1" t="n">
        <v>45582</v>
      </c>
      <c r="D54" t="inlineStr">
        <is>
          <t>KALMAR LÄN</t>
        </is>
      </c>
      <c r="E54" t="inlineStr">
        <is>
          <t>MÖRBYLÅNGA</t>
        </is>
      </c>
      <c r="G54" t="n">
        <v>1</v>
      </c>
      <c r="H54" t="n">
        <v>0</v>
      </c>
      <c r="I54" t="n">
        <v>0</v>
      </c>
      <c r="J54" t="n">
        <v>0</v>
      </c>
      <c r="K54" t="n">
        <v>0</v>
      </c>
      <c r="L54" t="n">
        <v>0</v>
      </c>
      <c r="M54" t="n">
        <v>0</v>
      </c>
      <c r="N54" t="n">
        <v>0</v>
      </c>
      <c r="O54" t="n">
        <v>0</v>
      </c>
      <c r="P54" t="n">
        <v>0</v>
      </c>
      <c r="Q54" t="n">
        <v>0</v>
      </c>
      <c r="R54" s="2" t="inlineStr"/>
    </row>
    <row r="55" ht="15" customHeight="1">
      <c r="A55" t="inlineStr">
        <is>
          <t>A 4152-2024</t>
        </is>
      </c>
      <c r="B55" s="1" t="n">
        <v>45323</v>
      </c>
      <c r="C55" s="1" t="n">
        <v>45582</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13040-2024</t>
        </is>
      </c>
      <c r="B56" s="1" t="n">
        <v>45385</v>
      </c>
      <c r="C56" s="1" t="n">
        <v>45582</v>
      </c>
      <c r="D56" t="inlineStr">
        <is>
          <t>KALMAR LÄN</t>
        </is>
      </c>
      <c r="E56" t="inlineStr">
        <is>
          <t>MÖRBYLÅNGA</t>
        </is>
      </c>
      <c r="G56" t="n">
        <v>1.2</v>
      </c>
      <c r="H56" t="n">
        <v>0</v>
      </c>
      <c r="I56" t="n">
        <v>0</v>
      </c>
      <c r="J56" t="n">
        <v>0</v>
      </c>
      <c r="K56" t="n">
        <v>0</v>
      </c>
      <c r="L56" t="n">
        <v>0</v>
      </c>
      <c r="M56" t="n">
        <v>0</v>
      </c>
      <c r="N56" t="n">
        <v>0</v>
      </c>
      <c r="O56" t="n">
        <v>0</v>
      </c>
      <c r="P56" t="n">
        <v>0</v>
      </c>
      <c r="Q56" t="n">
        <v>0</v>
      </c>
      <c r="R56" s="2" t="inlineStr"/>
    </row>
    <row r="57">
      <c r="A57" t="inlineStr">
        <is>
          <t>A 15045-2024</t>
        </is>
      </c>
      <c r="B57" s="1" t="n">
        <v>45399</v>
      </c>
      <c r="C57" s="1" t="n">
        <v>45582</v>
      </c>
      <c r="D57" t="inlineStr">
        <is>
          <t>KALMAR LÄN</t>
        </is>
      </c>
      <c r="E57" t="inlineStr">
        <is>
          <t>MÖRBYLÅNGA</t>
        </is>
      </c>
      <c r="G57" t="n">
        <v>2.1</v>
      </c>
      <c r="H57" t="n">
        <v>0</v>
      </c>
      <c r="I57" t="n">
        <v>0</v>
      </c>
      <c r="J57" t="n">
        <v>0</v>
      </c>
      <c r="K57" t="n">
        <v>0</v>
      </c>
      <c r="L57" t="n">
        <v>0</v>
      </c>
      <c r="M57" t="n">
        <v>0</v>
      </c>
      <c r="N57" t="n">
        <v>0</v>
      </c>
      <c r="O57" t="n">
        <v>0</v>
      </c>
      <c r="P57" t="n">
        <v>0</v>
      </c>
      <c r="Q57" t="n">
        <v>0</v>
      </c>
      <c r="R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2024-10-17T12:43:22Z</dcterms:created>
  <dcterms:modified xmlns:dcterms="http://purl.org/dc/terms/" xmlns:xsi="http://www.w3.org/2001/XMLSchema-instance" xsi:type="dcterms:W3CDTF">2024-10-17T12:43:22Z</dcterms:modified>
</cp:coreProperties>
</file>