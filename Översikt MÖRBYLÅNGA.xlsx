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46273</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46273</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46273</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46273</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46273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46273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46273</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46273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46273</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46273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46273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46273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46273</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46273</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26440-2026</t>
        </is>
      </c>
      <c r="B31" t="inlineStr">
        <is>
          <t>avverkningsanmälan</t>
        </is>
      </c>
      <c r="C31" t="inlineStr">
        <is>
          <t>Avverkning för annat ändamål</t>
        </is>
      </c>
      <c r="D31" s="1" t="n">
        <v>46183</v>
      </c>
      <c r="E31" s="1" t="n">
        <v>46273</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t="n">
        <v>0</v>
      </c>
      <c r="V31" s="2" t="inlineStr">
        <is>
          <t>Backstarr
Murgröna
Nästrot
Vätteros</t>
        </is>
      </c>
      <c r="W31">
        <f>HYPERLINK("https://klasma.github.io/Logging_0840/artfynd/A 26440-2026 artfynd.xlsx", "A 26440-2026")</f>
        <v/>
      </c>
      <c r="X31">
        <f>HYPERLINK("https://klasma.github.io/Logging_0840/kartor/A 26440-2026 karta.png", "A 26440-2026")</f>
        <v/>
      </c>
      <c r="Y31">
        <f>HYPERLINK("https://klasma.github.io/Logging_0840/kartor_geotiff/A 26440-2026 georefererad karta.tif", "A 26440-2026")</f>
        <v/>
      </c>
      <c r="AA31">
        <f>HYPERLINK("https://klasma.github.io/Logging_0840/klagomål/A 26440-2026 FSC-klagomål.docx", "A 26440-2026")</f>
        <v/>
      </c>
      <c r="AB31">
        <f>HYPERLINK("https://klasma.github.io/Logging_0840/klagomålsmail/A 26440-2026 FSC-klagomål mail.docx", "A 26440-2026")</f>
        <v/>
      </c>
      <c r="AC31">
        <f>HYPERLINK("https://klasma.github.io/Logging_0840/tillsyn/A 26440-2026 tillsynsbegäran.docx", "A 26440-2026")</f>
        <v/>
      </c>
      <c r="AD31">
        <f>HYPERLINK("https://klasma.github.io/Logging_0840/tillsynsmail/A 26440-2026 tillsynsbegäran mail.docx", "A 26440-2026")</f>
        <v/>
      </c>
    </row>
    <row r="32" ht="15" customHeight="1">
      <c r="A32" t="inlineStr">
        <is>
          <t>A 54167-2024</t>
        </is>
      </c>
      <c r="B32" t="inlineStr">
        <is>
          <t>avverkningsanmälan</t>
        </is>
      </c>
      <c r="C32" t="inlineStr">
        <is>
          <t>Föryngringsavverkning</t>
        </is>
      </c>
      <c r="D32" s="1" t="n">
        <v>45616</v>
      </c>
      <c r="E32" s="1" t="n">
        <v>46273</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34431-2026</t>
        </is>
      </c>
      <c r="B33" t="inlineStr">
        <is>
          <t>avverkningsanmälan</t>
        </is>
      </c>
      <c r="C33" t="inlineStr">
        <is>
          <t>Avverkning för annat ändamål</t>
        </is>
      </c>
      <c r="D33" s="1" t="n">
        <v>46254</v>
      </c>
      <c r="E33" s="1" t="n">
        <v>46273</v>
      </c>
      <c r="F33" t="inlineStr">
        <is>
          <t>KALMAR LÄN</t>
        </is>
      </c>
      <c r="G33" t="inlineStr">
        <is>
          <t>MÖRBYLÅNGA</t>
        </is>
      </c>
      <c r="I33" t="n">
        <v>8.300000000000001</v>
      </c>
      <c r="J33" t="n">
        <v>2</v>
      </c>
      <c r="K33" t="n">
        <v>1</v>
      </c>
      <c r="L33" t="n">
        <v>3</v>
      </c>
      <c r="M33" t="n">
        <v>0</v>
      </c>
      <c r="N33" t="n">
        <v>0</v>
      </c>
      <c r="O33" t="n">
        <v>0</v>
      </c>
      <c r="P33" t="n">
        <v>0</v>
      </c>
      <c r="Q33" t="n">
        <v>3</v>
      </c>
      <c r="R33" t="n">
        <v>0</v>
      </c>
      <c r="S33" t="n">
        <v>4</v>
      </c>
      <c r="T33" t="n">
        <v>5</v>
      </c>
      <c r="U33" t="n">
        <v>1</v>
      </c>
      <c r="V33" s="2" t="inlineStr">
        <is>
          <t>Entita
Mindre hackspett
Sandtimotej
Murgröna</t>
        </is>
      </c>
      <c r="W33">
        <f>HYPERLINK("https://klasma.github.io/Logging_0840/artfynd/A 34431-2026 artfynd.xlsx", "A 34431-2026")</f>
        <v/>
      </c>
      <c r="X33">
        <f>HYPERLINK("https://klasma.github.io/Logging_0840/kartor/A 34431-2026 karta.png", "A 34431-2026")</f>
        <v/>
      </c>
      <c r="Y33">
        <f>HYPERLINK("https://klasma.github.io/Logging_0840/kartor_geotiff/A 34431-2026 georefererad karta.tif", "A 34431-2026")</f>
        <v/>
      </c>
      <c r="AA33">
        <f>HYPERLINK("https://klasma.github.io/Logging_0840/klagomål/A 34431-2026 FSC-klagomål.docx", "A 34431-2026")</f>
        <v/>
      </c>
      <c r="AB33">
        <f>HYPERLINK("https://klasma.github.io/Logging_0840/klagomålsmail/A 34431-2026 FSC-klagomål mail.docx", "A 34431-2026")</f>
        <v/>
      </c>
      <c r="AC33">
        <f>HYPERLINK("https://klasma.github.io/Logging_0840/tillsyn/A 34431-2026 tillsynsbegäran.docx", "A 34431-2026")</f>
        <v/>
      </c>
      <c r="AD33">
        <f>HYPERLINK("https://klasma.github.io/Logging_0840/tillsynsmail/A 34431-2026 tillsynsbegäran mail.docx", "A 34431-2026")</f>
        <v/>
      </c>
      <c r="AE33">
        <f>HYPERLINK("https://klasma.github.io/Logging_0840/fåglar/A 34431-2026 prioriterade fågelarter.docx", "A 34431-2026")</f>
        <v/>
      </c>
    </row>
    <row r="34" ht="15" customHeight="1">
      <c r="A34" t="inlineStr">
        <is>
          <t>A 19459-2023</t>
        </is>
      </c>
      <c r="B34" t="inlineStr">
        <is>
          <t>avverkningsanmälan</t>
        </is>
      </c>
      <c r="C34" t="inlineStr">
        <is>
          <t>Avverkning för annat ändamål</t>
        </is>
      </c>
      <c r="D34" s="1" t="n">
        <v>45049</v>
      </c>
      <c r="E34" s="1" t="n">
        <v>46273</v>
      </c>
      <c r="F34" t="inlineStr">
        <is>
          <t>KALMAR LÄN</t>
        </is>
      </c>
      <c r="G34" t="inlineStr">
        <is>
          <t>MÖRBYLÅNGA</t>
        </is>
      </c>
      <c r="I34" t="n">
        <v>1.6</v>
      </c>
      <c r="J34" t="n">
        <v>0</v>
      </c>
      <c r="K34" t="n">
        <v>0</v>
      </c>
      <c r="L34" t="n">
        <v>4</v>
      </c>
      <c r="M34" t="n">
        <v>0</v>
      </c>
      <c r="N34" t="n">
        <v>0</v>
      </c>
      <c r="O34" t="n">
        <v>0</v>
      </c>
      <c r="P34" t="n">
        <v>0</v>
      </c>
      <c r="Q34" t="n">
        <v>4</v>
      </c>
      <c r="R34" t="n">
        <v>0</v>
      </c>
      <c r="S34" t="n">
        <v>4</v>
      </c>
      <c r="T34" t="n">
        <v>4</v>
      </c>
      <c r="U34" t="n">
        <v>4</v>
      </c>
      <c r="V34" s="2" t="inlineStr">
        <is>
          <t>Kavelhirs
Kösa
Luddvicker
Riddarsporre</t>
        </is>
      </c>
      <c r="W34">
        <f>HYPERLINK("https://klasma.github.io/Logging_0840/artfynd/A 19459-2023 artfynd.xlsx", "A 19459-2023")</f>
        <v/>
      </c>
      <c r="X34">
        <f>HYPERLINK("https://klasma.github.io/Logging_0840/kartor/A 19459-2023 karta.png", "A 19459-2023")</f>
        <v/>
      </c>
      <c r="Y34">
        <f>HYPERLINK("https://klasma.github.io/Logging_0840/kartor_geotiff/A 19459-2023 georefererad karta.tif", "A 19459-2023")</f>
        <v/>
      </c>
      <c r="AA34">
        <f>HYPERLINK("https://klasma.github.io/Logging_0840/klagomål/A 19459-2023 FSC-klagomål.docx", "A 19459-2023")</f>
        <v/>
      </c>
      <c r="AB34">
        <f>HYPERLINK("https://klasma.github.io/Logging_0840/klagomålsmail/A 19459-2023 FSC-klagomål mail.docx", "A 19459-2023")</f>
        <v/>
      </c>
      <c r="AC34">
        <f>HYPERLINK("https://klasma.github.io/Logging_0840/tillsyn/A 19459-2023 tillsynsbegäran.docx", "A 19459-2023")</f>
        <v/>
      </c>
      <c r="AD34">
        <f>HYPERLINK("https://klasma.github.io/Logging_0840/tillsynsmail/A 19459-2023 tillsynsbegäran mail.docx", "A 19459-2023")</f>
        <v/>
      </c>
    </row>
    <row r="35" ht="15" customHeight="1">
      <c r="A35" t="inlineStr">
        <is>
          <t>A 51244-2021</t>
        </is>
      </c>
      <c r="B35" t="inlineStr">
        <is>
          <t>avverkningsanmälan</t>
        </is>
      </c>
      <c r="C35" t="inlineStr">
        <is>
          <t>Avverkning för att bevara och utveckla /försöksver</t>
        </is>
      </c>
      <c r="D35" s="1" t="n">
        <v>44460</v>
      </c>
      <c r="E35" s="1" t="n">
        <v>46273</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46273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46273</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46273</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46273</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46273</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46273</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46273</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46273</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46273</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46273</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46273</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24698-2023</t>
        </is>
      </c>
      <c r="B47" t="inlineStr">
        <is>
          <t>avverkningsanmälan</t>
        </is>
      </c>
      <c r="C47" t="inlineStr">
        <is>
          <t>Föryngringsavverkning</t>
        </is>
      </c>
      <c r="D47" s="1" t="n">
        <v>45084</v>
      </c>
      <c r="E47" s="1" t="n">
        <v>46273</v>
      </c>
      <c r="F47" t="inlineStr">
        <is>
          <t>KALMAR LÄN</t>
        </is>
      </c>
      <c r="G47" t="inlineStr">
        <is>
          <t>MÖRBYLÅNGA</t>
        </is>
      </c>
      <c r="I47" t="n">
        <v>5.5</v>
      </c>
      <c r="J47" t="n">
        <v>0</v>
      </c>
      <c r="K47" t="n">
        <v>0</v>
      </c>
      <c r="L47" t="n">
        <v>1</v>
      </c>
      <c r="M47" t="n">
        <v>0</v>
      </c>
      <c r="N47" t="n">
        <v>0</v>
      </c>
      <c r="O47" t="n">
        <v>0</v>
      </c>
      <c r="P47" t="n">
        <v>0</v>
      </c>
      <c r="Q47" t="n">
        <v>1</v>
      </c>
      <c r="R47" t="n">
        <v>0</v>
      </c>
      <c r="S47" t="n">
        <v>1</v>
      </c>
      <c r="T47" t="n">
        <v>1</v>
      </c>
      <c r="U47" t="n">
        <v>1</v>
      </c>
      <c r="V47" s="2" t="inlineStr">
        <is>
          <t>Sårläka</t>
        </is>
      </c>
      <c r="W47">
        <f>HYPERLINK("https://klasma.github.io/Logging_0840/artfynd/A 24698-2023 artfynd.xlsx", "A 24698-2023")</f>
        <v/>
      </c>
      <c r="X47">
        <f>HYPERLINK("https://klasma.github.io/Logging_0840/kartor/A 24698-2023 karta.png", "A 24698-2023")</f>
        <v/>
      </c>
      <c r="Y47">
        <f>HYPERLINK("https://klasma.github.io/Logging_0840/kartor_geotiff/A 24698-2023 georefererad karta.tif", "A 24698-2023")</f>
        <v/>
      </c>
      <c r="AA47">
        <f>HYPERLINK("https://klasma.github.io/Logging_0840/klagomål/A 24698-2023 FSC-klagomål.docx", "A 24698-2023")</f>
        <v/>
      </c>
      <c r="AB47">
        <f>HYPERLINK("https://klasma.github.io/Logging_0840/klagomålsmail/A 24698-2023 FSC-klagomål mail.docx", "A 24698-2023")</f>
        <v/>
      </c>
      <c r="AC47">
        <f>HYPERLINK("https://klasma.github.io/Logging_0840/tillsyn/A 24698-2023 tillsynsbegäran.docx", "A 24698-2023")</f>
        <v/>
      </c>
      <c r="AD47">
        <f>HYPERLINK("https://klasma.github.io/Logging_0840/tillsynsmail/A 24698-2023 tillsynsbegäran mail.docx", "A 24698-2023")</f>
        <v/>
      </c>
    </row>
    <row r="48" ht="15" customHeight="1">
      <c r="A48" t="inlineStr">
        <is>
          <t>A 26876-2022</t>
        </is>
      </c>
      <c r="B48" t="inlineStr">
        <is>
          <t>avverkningsanmälan</t>
        </is>
      </c>
      <c r="C48" t="inlineStr">
        <is>
          <t>Avverkning för annat ändamål</t>
        </is>
      </c>
      <c r="D48" s="1" t="n">
        <v>44740</v>
      </c>
      <c r="E48" s="1" t="n">
        <v>46273</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46273</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46273</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2026-09-08T02:07:56Z</dcterms:created>
  <dcterms:modified xmlns:dcterms="http://purl.org/dc/terms/" xmlns:xsi="http://www.w3.org/2001/XMLSchema-instance" xsi:type="dcterms:W3CDTF">2026-09-08T02:07:56Z</dcterms:modified>
</cp:coreProperties>
</file>