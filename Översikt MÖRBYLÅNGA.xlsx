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46296</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46296</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46296</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46296</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46296</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46296</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46296</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46296</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46296</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46296</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24778-2022</t>
        </is>
      </c>
      <c r="B15" t="inlineStr">
        <is>
          <t>avverkningsanmälan</t>
        </is>
      </c>
      <c r="C15" t="inlineStr">
        <is>
          <t>Föryngringsavverkning</t>
        </is>
      </c>
      <c r="D15" s="1" t="n">
        <v>44728</v>
      </c>
      <c r="E15" s="1" t="n">
        <v>46296</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46296</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46296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46296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46296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46296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46296</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46296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46296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46296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46296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46296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46296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46296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46296</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46296</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19459-2023</t>
        </is>
      </c>
      <c r="B31" t="inlineStr">
        <is>
          <t>avverkningsanmälan</t>
        </is>
      </c>
      <c r="C31" t="inlineStr">
        <is>
          <t>Avverkning för annat ändamål</t>
        </is>
      </c>
      <c r="D31" s="1" t="n">
        <v>45049</v>
      </c>
      <c r="E31" s="1" t="n">
        <v>46296</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54167-2024</t>
        </is>
      </c>
      <c r="B32" t="inlineStr">
        <is>
          <t>avverkningsanmälan</t>
        </is>
      </c>
      <c r="C32" t="inlineStr">
        <is>
          <t>Föryngringsavverkning</t>
        </is>
      </c>
      <c r="D32" s="1" t="n">
        <v>45616</v>
      </c>
      <c r="E32" s="1" t="n">
        <v>46296</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46296</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46296</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15600-2025</t>
        </is>
      </c>
      <c r="B35" t="inlineStr">
        <is>
          <t>avverkningsanmälan</t>
        </is>
      </c>
      <c r="C35" t="inlineStr">
        <is>
          <t>Avverkning för annat ändamål</t>
        </is>
      </c>
      <c r="D35" s="1" t="n">
        <v>45747</v>
      </c>
      <c r="E35" s="1" t="n">
        <v>46296</v>
      </c>
      <c r="F35" t="inlineStr">
        <is>
          <t>KALMAR LÄN</t>
        </is>
      </c>
      <c r="G35" t="inlineStr">
        <is>
          <t>MÖRBYLÅNGA</t>
        </is>
      </c>
      <c r="I35" t="n">
        <v>1.1</v>
      </c>
      <c r="J35" t="n">
        <v>0</v>
      </c>
      <c r="K35" t="n">
        <v>3</v>
      </c>
      <c r="L35" t="n">
        <v>0</v>
      </c>
      <c r="M35" t="n">
        <v>0</v>
      </c>
      <c r="N35" t="n">
        <v>0</v>
      </c>
      <c r="O35" t="n">
        <v>0</v>
      </c>
      <c r="P35" t="n">
        <v>0</v>
      </c>
      <c r="Q35" t="n">
        <v>0</v>
      </c>
      <c r="R35" t="n">
        <v>0</v>
      </c>
      <c r="S35" t="n">
        <v>3</v>
      </c>
      <c r="T35" t="n">
        <v>3</v>
      </c>
      <c r="U35" t="n">
        <v>1</v>
      </c>
      <c r="V35" s="2" t="inlineStr">
        <is>
          <t>Kragjordstjärna
Murgröna
Scharlakansvårskål agg.</t>
        </is>
      </c>
      <c r="W35">
        <f>HYPERLINK("https://klasma.github.io/Logging_0840/artfynd/A 15600-2025 artfynd.xlsx", "A 15600-2025")</f>
        <v/>
      </c>
      <c r="X35">
        <f>HYPERLINK("https://klasma.github.io/Logging_0840/kartor/A 15600-2025 karta.png", "A 15600-2025")</f>
        <v/>
      </c>
      <c r="Y35">
        <f>HYPERLINK("https://klasma.github.io/Logging_0840/kartor_geotiff/A 15600-2025 georefererad karta.tif", "A 15600-2025")</f>
        <v/>
      </c>
      <c r="AA35">
        <f>HYPERLINK("https://klasma.github.io/Logging_0840/klagomål/A 15600-2025 FSC-klagomål.docx", "A 15600-2025")</f>
        <v/>
      </c>
      <c r="AB35">
        <f>HYPERLINK("https://klasma.github.io/Logging_0840/klagomålsmail/A 15600-2025 FSC-klagomål mail.docx", "A 15600-2025")</f>
        <v/>
      </c>
      <c r="AC35">
        <f>HYPERLINK("https://klasma.github.io/Logging_0840/tillsyn/A 15600-2025 tillsynsbegäran.docx", "A 15600-2025")</f>
        <v/>
      </c>
      <c r="AD35">
        <f>HYPERLINK("https://klasma.github.io/Logging_0840/tillsynsmail/A 15600-2025 tillsynsbegäran mail.docx", "A 15600-2025")</f>
        <v/>
      </c>
    </row>
    <row r="36" ht="15" customHeight="1">
      <c r="A36" t="inlineStr">
        <is>
          <t>A 43702-2025</t>
        </is>
      </c>
      <c r="B36" t="inlineStr">
        <is>
          <t>avverkningsanmälan</t>
        </is>
      </c>
      <c r="C36" t="inlineStr">
        <is>
          <t>Föryngringsavverkning</t>
        </is>
      </c>
      <c r="D36" s="1" t="n">
        <v>45912</v>
      </c>
      <c r="E36" s="1" t="n">
        <v>46296</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46296</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54192-2021</t>
        </is>
      </c>
      <c r="B38" t="inlineStr">
        <is>
          <t>avverkningsanmälan</t>
        </is>
      </c>
      <c r="C38" t="inlineStr">
        <is>
          <t>Föryngringsavverkning</t>
        </is>
      </c>
      <c r="D38" s="1" t="n">
        <v>44470</v>
      </c>
      <c r="E38" s="1" t="n">
        <v>46296</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46296</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46296</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S 2138-2026</t>
        </is>
      </c>
      <c r="B41" t="inlineStr">
        <is>
          <t>samrådsanmälan</t>
        </is>
      </c>
      <c r="C41" t="inlineStr">
        <is>
          <t>Annan skogsbruksåtgärd</t>
        </is>
      </c>
      <c r="D41" s="1" t="n">
        <v>46246</v>
      </c>
      <c r="E41" s="1" t="n">
        <v>46296</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24698-2023</t>
        </is>
      </c>
      <c r="B42" t="inlineStr">
        <is>
          <t>avverkningsanmälan</t>
        </is>
      </c>
      <c r="C42" t="inlineStr">
        <is>
          <t>Föryngringsavverkning</t>
        </is>
      </c>
      <c r="D42" s="1" t="n">
        <v>45084</v>
      </c>
      <c r="E42" s="1" t="n">
        <v>46296</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13040-2024</t>
        </is>
      </c>
      <c r="B43" t="inlineStr">
        <is>
          <t>avverkningsanmälan</t>
        </is>
      </c>
      <c r="C43" t="inlineStr">
        <is>
          <t>Avverkning för annat ändamål</t>
        </is>
      </c>
      <c r="D43" s="1" t="n">
        <v>45385</v>
      </c>
      <c r="E43" s="1" t="n">
        <v>46296</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46296</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46296</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46296</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46296</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26876-2022</t>
        </is>
      </c>
      <c r="B48" t="inlineStr">
        <is>
          <t>avverkningsanmälan</t>
        </is>
      </c>
      <c r="C48" t="inlineStr">
        <is>
          <t>Avverkning för annat ändamål</t>
        </is>
      </c>
      <c r="D48" s="1" t="n">
        <v>44740</v>
      </c>
      <c r="E48" s="1" t="n">
        <v>46296</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46296</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46296</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2026-10-01T02:01:35Z</dcterms:created>
  <dcterms:modified xmlns:dcterms="http://purl.org/dc/terms/" xmlns:xsi="http://www.w3.org/2001/XMLSchema-instance" xsi:type="dcterms:W3CDTF">2026-10-01T02:01:35Z</dcterms:modified>
</cp:coreProperties>
</file>