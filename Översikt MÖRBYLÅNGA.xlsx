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46017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46017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46017</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46017</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46017</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21214-2023</t>
        </is>
      </c>
      <c r="B7" s="1" t="n">
        <v>45062</v>
      </c>
      <c r="C7" s="1" t="n">
        <v>46017</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46017</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46017</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46017</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46017</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27636-2023</t>
        </is>
      </c>
      <c r="B12" s="1" t="n">
        <v>45097</v>
      </c>
      <c r="C12" s="1" t="n">
        <v>46017</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46017</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39320-2024</t>
        </is>
      </c>
      <c r="B14" s="1" t="n">
        <v>45551</v>
      </c>
      <c r="C14" s="1" t="n">
        <v>46017</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43714-2025</t>
        </is>
      </c>
      <c r="B15" s="1" t="n">
        <v>45912.40814814815</v>
      </c>
      <c r="C15" s="1" t="n">
        <v>46017</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54167-2024</t>
        </is>
      </c>
      <c r="B16" s="1" t="n">
        <v>45616.62196759259</v>
      </c>
      <c r="C16" s="1" t="n">
        <v>46017</v>
      </c>
      <c r="D16" t="inlineStr">
        <is>
          <t>KALMAR LÄN</t>
        </is>
      </c>
      <c r="E16" t="inlineStr">
        <is>
          <t>MÖRBYLÅNGA</t>
        </is>
      </c>
      <c r="G16" t="n">
        <v>1.5</v>
      </c>
      <c r="H16" t="n">
        <v>2</v>
      </c>
      <c r="I16" t="n">
        <v>2</v>
      </c>
      <c r="J16" t="n">
        <v>0</v>
      </c>
      <c r="K16" t="n">
        <v>0</v>
      </c>
      <c r="L16" t="n">
        <v>1</v>
      </c>
      <c r="M16" t="n">
        <v>0</v>
      </c>
      <c r="N16" t="n">
        <v>0</v>
      </c>
      <c r="O16" t="n">
        <v>1</v>
      </c>
      <c r="P16" t="n">
        <v>1</v>
      </c>
      <c r="Q16" t="n">
        <v>4</v>
      </c>
      <c r="R16" s="2" t="inlineStr">
        <is>
          <t>Ask
Murgröna
Tvåblad
Blåsippa</t>
        </is>
      </c>
      <c r="S16">
        <f>HYPERLINK("https://klasma.github.io/Logging_0840/artfynd/A 54167-2024 artfynd.xlsx", "A 54167-2024")</f>
        <v/>
      </c>
      <c r="T16">
        <f>HYPERLINK("https://klasma.github.io/Logging_0840/kartor/A 54167-2024 karta.png", "A 54167-2024")</f>
        <v/>
      </c>
      <c r="V16">
        <f>HYPERLINK("https://klasma.github.io/Logging_0840/klagomål/A 54167-2024 FSC-klagomål.docx", "A 54167-2024")</f>
        <v/>
      </c>
      <c r="W16">
        <f>HYPERLINK("https://klasma.github.io/Logging_0840/klagomålsmail/A 54167-2024 FSC-klagomål mail.docx", "A 54167-2024")</f>
        <v/>
      </c>
      <c r="X16">
        <f>HYPERLINK("https://klasma.github.io/Logging_0840/tillsyn/A 54167-2024 tillsynsbegäran.docx", "A 54167-2024")</f>
        <v/>
      </c>
      <c r="Y16">
        <f>HYPERLINK("https://klasma.github.io/Logging_0840/tillsynsmail/A 54167-2024 tillsynsbegäran mail.docx", "A 54167-2024")</f>
        <v/>
      </c>
    </row>
    <row r="17" ht="15" customHeight="1">
      <c r="A17" t="inlineStr">
        <is>
          <t>A 60875-2025</t>
        </is>
      </c>
      <c r="B17" s="1" t="n">
        <v>45999.55524305555</v>
      </c>
      <c r="C17" s="1" t="n">
        <v>46017</v>
      </c>
      <c r="D17" t="inlineStr">
        <is>
          <t>KALMAR LÄN</t>
        </is>
      </c>
      <c r="E17" t="inlineStr">
        <is>
          <t>MÖRBYLÅNGA</t>
        </is>
      </c>
      <c r="G17" t="n">
        <v>2.1</v>
      </c>
      <c r="H17" t="n">
        <v>3</v>
      </c>
      <c r="I17" t="n">
        <v>0</v>
      </c>
      <c r="J17" t="n">
        <v>3</v>
      </c>
      <c r="K17" t="n">
        <v>0</v>
      </c>
      <c r="L17" t="n">
        <v>0</v>
      </c>
      <c r="M17" t="n">
        <v>0</v>
      </c>
      <c r="N17" t="n">
        <v>0</v>
      </c>
      <c r="O17" t="n">
        <v>3</v>
      </c>
      <c r="P17" t="n">
        <v>0</v>
      </c>
      <c r="Q17" t="n">
        <v>4</v>
      </c>
      <c r="R17" s="2" t="inlineStr">
        <is>
          <t>Grönsångare
Gulsparv
Svinrot
Gråkråka</t>
        </is>
      </c>
      <c r="S17">
        <f>HYPERLINK("https://klasma.github.io/Logging_0840/artfynd/A 60875-2025 artfynd.xlsx", "A 60875-2025")</f>
        <v/>
      </c>
      <c r="T17">
        <f>HYPERLINK("https://klasma.github.io/Logging_0840/kartor/A 60875-2025 karta.png", "A 60875-2025")</f>
        <v/>
      </c>
      <c r="V17">
        <f>HYPERLINK("https://klasma.github.io/Logging_0840/klagomål/A 60875-2025 FSC-klagomål.docx", "A 60875-2025")</f>
        <v/>
      </c>
      <c r="W17">
        <f>HYPERLINK("https://klasma.github.io/Logging_0840/klagomålsmail/A 60875-2025 FSC-klagomål mail.docx", "A 60875-2025")</f>
        <v/>
      </c>
      <c r="X17">
        <f>HYPERLINK("https://klasma.github.io/Logging_0840/tillsyn/A 60875-2025 tillsynsbegäran.docx", "A 60875-2025")</f>
        <v/>
      </c>
      <c r="Y17">
        <f>HYPERLINK("https://klasma.github.io/Logging_0840/tillsynsmail/A 60875-2025 tillsynsbegäran mail.docx", "A 60875-2025")</f>
        <v/>
      </c>
      <c r="Z17">
        <f>HYPERLINK("https://klasma.github.io/Logging_0840/fåglar/A 60875-2025 prioriterade fågelarter.docx", "A 60875-2025")</f>
        <v/>
      </c>
    </row>
    <row r="18" ht="15" customHeight="1">
      <c r="A18" t="inlineStr">
        <is>
          <t>A 52906-2021</t>
        </is>
      </c>
      <c r="B18" s="1" t="n">
        <v>44467</v>
      </c>
      <c r="C18" s="1" t="n">
        <v>46017</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46017</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61963-2025</t>
        </is>
      </c>
      <c r="B20" s="1" t="n">
        <v>46003</v>
      </c>
      <c r="C20" s="1" t="n">
        <v>46017</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46017</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15600-2025</t>
        </is>
      </c>
      <c r="B22" s="1" t="n">
        <v>45747</v>
      </c>
      <c r="C22" s="1" t="n">
        <v>46017</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40361-2023</t>
        </is>
      </c>
      <c r="B23" s="1" t="n">
        <v>45169</v>
      </c>
      <c r="C23" s="1" t="n">
        <v>46017</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54192-2021</t>
        </is>
      </c>
      <c r="B24" s="1" t="n">
        <v>44470</v>
      </c>
      <c r="C24" s="1" t="n">
        <v>46017</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46017</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43702-2025</t>
        </is>
      </c>
      <c r="B26" s="1" t="n">
        <v>45912.40270833333</v>
      </c>
      <c r="C26" s="1" t="n">
        <v>46017</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46017</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46017</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24698-2023</t>
        </is>
      </c>
      <c r="B29" s="1" t="n">
        <v>45084</v>
      </c>
      <c r="C29" s="1" t="n">
        <v>46017</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46017</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46017</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46017</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46017</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72167-2021</t>
        </is>
      </c>
      <c r="B34" s="1" t="n">
        <v>44544</v>
      </c>
      <c r="C34" s="1" t="n">
        <v>46017</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row r="35" ht="15" customHeight="1">
      <c r="A35" t="inlineStr">
        <is>
          <t>A 57407-2025</t>
        </is>
      </c>
      <c r="B35" s="1" t="n">
        <v>45980.44351851852</v>
      </c>
      <c r="C35" s="1" t="n">
        <v>46017</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c r="A36" t="inlineStr">
        <is>
          <t>A 62183-2025</t>
        </is>
      </c>
      <c r="B36" s="1" t="n">
        <v>46006.5356712963</v>
      </c>
      <c r="C36" s="1" t="n">
        <v>46017</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2025-12-26T09:32:46Z</dcterms:created>
  <dcterms:modified xmlns:dcterms="http://purl.org/dc/terms/" xmlns:xsi="http://www.w3.org/2001/XMLSchema-instance" xsi:type="dcterms:W3CDTF">2025-12-26T09:32:46Z</dcterms:modified>
</cp:coreProperties>
</file>