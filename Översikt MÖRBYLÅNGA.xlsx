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46288</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46288</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46288</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46288</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46288</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46288</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46288</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46288</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46288</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46288</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46288</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46288</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46288</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46288</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46288</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46288</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46288</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46288</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46288</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46288</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46288</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46288</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46288</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46288</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46288</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46288</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46288</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46288</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46288</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46288</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46288</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46288</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46288</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43702-2025</t>
        </is>
      </c>
      <c r="B35" t="inlineStr">
        <is>
          <t>avverkningsanmälan</t>
        </is>
      </c>
      <c r="C35" t="inlineStr">
        <is>
          <t>Föryngringsavverkning</t>
        </is>
      </c>
      <c r="D35" s="1" t="n">
        <v>45912</v>
      </c>
      <c r="E35" s="1" t="n">
        <v>46288</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29360-2026</t>
        </is>
      </c>
      <c r="B36" t="inlineStr">
        <is>
          <t>avverkningsanmälan</t>
        </is>
      </c>
      <c r="C36" t="inlineStr">
        <is>
          <t>Avverkning för annat ändamål</t>
        </is>
      </c>
      <c r="D36" s="1" t="n">
        <v>46203</v>
      </c>
      <c r="E36" s="1" t="n">
        <v>46288</v>
      </c>
      <c r="F36" t="inlineStr">
        <is>
          <t>KALMAR LÄN</t>
        </is>
      </c>
      <c r="G36" t="inlineStr">
        <is>
          <t>MÖRBYLÅNGA</t>
        </is>
      </c>
      <c r="I36" t="n">
        <v>2.9</v>
      </c>
      <c r="J36" t="n">
        <v>1</v>
      </c>
      <c r="K36" t="n">
        <v>1</v>
      </c>
      <c r="L36" t="n">
        <v>1</v>
      </c>
      <c r="M36" t="n">
        <v>1</v>
      </c>
      <c r="N36" t="n">
        <v>0</v>
      </c>
      <c r="O36" t="n">
        <v>0</v>
      </c>
      <c r="P36" t="n">
        <v>0</v>
      </c>
      <c r="Q36" t="n">
        <v>2</v>
      </c>
      <c r="R36" t="n">
        <v>1</v>
      </c>
      <c r="S36" t="n">
        <v>3</v>
      </c>
      <c r="T36" t="n">
        <v>3</v>
      </c>
      <c r="U36" t="n">
        <v>1</v>
      </c>
      <c r="V36" s="2" t="inlineStr">
        <is>
          <t>Mindre blåvinge
Silversmygare
Ekoxe</t>
        </is>
      </c>
      <c r="W36">
        <f>HYPERLINK("https://klasma.github.io/Logging_0840/artfynd/A 29360-2026 artfynd.xlsx", "A 29360-2026")</f>
        <v/>
      </c>
      <c r="X36">
        <f>HYPERLINK("https://klasma.github.io/Logging_0840/kartor/A 29360-2026 karta.png", "A 29360-2026")</f>
        <v/>
      </c>
      <c r="Y36">
        <f>HYPERLINK("https://klasma.github.io/Logging_0840/kartor_geotiff/A 29360-2026 georefererad karta.tif", "A 29360-2026")</f>
        <v/>
      </c>
      <c r="AA36">
        <f>HYPERLINK("https://klasma.github.io/Logging_0840/klagomål/A 29360-2026 FSC-klagomål.docx", "A 29360-2026")</f>
        <v/>
      </c>
      <c r="AB36">
        <f>HYPERLINK("https://klasma.github.io/Logging_0840/klagomålsmail/A 29360-2026 FSC-klagomål mail.docx", "A 29360-2026")</f>
        <v/>
      </c>
      <c r="AC36">
        <f>HYPERLINK("https://klasma.github.io/Logging_0840/tillsyn/A 29360-2026 tillsynsbegäran.docx", "A 29360-2026")</f>
        <v/>
      </c>
      <c r="AD36">
        <f>HYPERLINK("https://klasma.github.io/Logging_0840/tillsynsmail/A 29360-2026 tillsynsbegäran mail.docx", "A 29360-2026")</f>
        <v/>
      </c>
    </row>
    <row r="37" ht="15" customHeight="1">
      <c r="A37" t="inlineStr">
        <is>
          <t>A 15600-2025</t>
        </is>
      </c>
      <c r="B37" t="inlineStr">
        <is>
          <t>avverkningsanmälan</t>
        </is>
      </c>
      <c r="C37" t="inlineStr">
        <is>
          <t>Avverkning för annat ändamål</t>
        </is>
      </c>
      <c r="D37" s="1" t="n">
        <v>45747</v>
      </c>
      <c r="E37" s="1" t="n">
        <v>46288</v>
      </c>
      <c r="F37" t="inlineStr">
        <is>
          <t>KALMAR LÄN</t>
        </is>
      </c>
      <c r="G37" t="inlineStr">
        <is>
          <t>MÖRBYLÅNGA</t>
        </is>
      </c>
      <c r="I37" t="n">
        <v>1.1</v>
      </c>
      <c r="J37" t="n">
        <v>0</v>
      </c>
      <c r="K37" t="n">
        <v>3</v>
      </c>
      <c r="L37" t="n">
        <v>0</v>
      </c>
      <c r="M37" t="n">
        <v>0</v>
      </c>
      <c r="N37" t="n">
        <v>0</v>
      </c>
      <c r="O37" t="n">
        <v>0</v>
      </c>
      <c r="P37" t="n">
        <v>0</v>
      </c>
      <c r="Q37" t="n">
        <v>0</v>
      </c>
      <c r="R37" t="n">
        <v>0</v>
      </c>
      <c r="S37" t="n">
        <v>3</v>
      </c>
      <c r="T37" t="n">
        <v>3</v>
      </c>
      <c r="U37" t="n">
        <v>1</v>
      </c>
      <c r="V37" s="2" t="inlineStr">
        <is>
          <t>Kragjordstjärna
Murgröna
Scharlakansvårskål agg.</t>
        </is>
      </c>
      <c r="W37">
        <f>HYPERLINK("https://klasma.github.io/Logging_0840/artfynd/A 15600-2025 artfynd.xlsx", "A 15600-2025")</f>
        <v/>
      </c>
      <c r="X37">
        <f>HYPERLINK("https://klasma.github.io/Logging_0840/kartor/A 15600-2025 karta.png", "A 15600-2025")</f>
        <v/>
      </c>
      <c r="Y37">
        <f>HYPERLINK("https://klasma.github.io/Logging_0840/kartor_geotiff/A 15600-2025 georefererad karta.tif", "A 15600-2025")</f>
        <v/>
      </c>
      <c r="AA37">
        <f>HYPERLINK("https://klasma.github.io/Logging_0840/klagomål/A 15600-2025 FSC-klagomål.docx", "A 15600-2025")</f>
        <v/>
      </c>
      <c r="AB37">
        <f>HYPERLINK("https://klasma.github.io/Logging_0840/klagomålsmail/A 15600-2025 FSC-klagomål mail.docx", "A 15600-2025")</f>
        <v/>
      </c>
      <c r="AC37">
        <f>HYPERLINK("https://klasma.github.io/Logging_0840/tillsyn/A 15600-2025 tillsynsbegäran.docx", "A 15600-2025")</f>
        <v/>
      </c>
      <c r="AD37">
        <f>HYPERLINK("https://klasma.github.io/Logging_0840/tillsynsmail/A 15600-2025 tillsynsbegäran mail.docx", "A 15600-2025")</f>
        <v/>
      </c>
    </row>
    <row r="38" ht="15" customHeight="1">
      <c r="A38" t="inlineStr">
        <is>
          <t>A 54192-2021</t>
        </is>
      </c>
      <c r="B38" t="inlineStr">
        <is>
          <t>avverkningsanmälan</t>
        </is>
      </c>
      <c r="C38" t="inlineStr">
        <is>
          <t>Föryngringsavverkning</t>
        </is>
      </c>
      <c r="D38" s="1" t="n">
        <v>44470</v>
      </c>
      <c r="E38" s="1" t="n">
        <v>46288</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62231-2023</t>
        </is>
      </c>
      <c r="B39" t="inlineStr">
        <is>
          <t>avverkningsanmälan</t>
        </is>
      </c>
      <c r="C39" t="inlineStr">
        <is>
          <t>Avverkning för annat ändamål</t>
        </is>
      </c>
      <c r="D39" s="1" t="n">
        <v>45267</v>
      </c>
      <c r="E39" s="1" t="n">
        <v>46288</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72167-2021</t>
        </is>
      </c>
      <c r="B40" t="inlineStr">
        <is>
          <t>avverkningsanmälan</t>
        </is>
      </c>
      <c r="C40" t="inlineStr">
        <is>
          <t>Föryngringsavverkning</t>
        </is>
      </c>
      <c r="D40" s="1" t="n">
        <v>44544</v>
      </c>
      <c r="E40" s="1" t="n">
        <v>46288</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S 2138-2026</t>
        </is>
      </c>
      <c r="B41" t="inlineStr">
        <is>
          <t>samrådsanmälan</t>
        </is>
      </c>
      <c r="C41" t="inlineStr">
        <is>
          <t>Annan skogsbruksåtgärd</t>
        </is>
      </c>
      <c r="D41" s="1" t="n">
        <v>46246</v>
      </c>
      <c r="E41" s="1" t="n">
        <v>46288</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62183-2025</t>
        </is>
      </c>
      <c r="B42" t="inlineStr">
        <is>
          <t>avverkningsanmälan</t>
        </is>
      </c>
      <c r="C42" t="inlineStr">
        <is>
          <t>Föryngringsavverkning</t>
        </is>
      </c>
      <c r="D42" s="1" t="n">
        <v>46006</v>
      </c>
      <c r="E42" s="1" t="n">
        <v>46288</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13040-2024</t>
        </is>
      </c>
      <c r="B43" t="inlineStr">
        <is>
          <t>avverkningsanmälan</t>
        </is>
      </c>
      <c r="C43" t="inlineStr">
        <is>
          <t>Avverkning för annat ändamål</t>
        </is>
      </c>
      <c r="D43" s="1" t="n">
        <v>45385</v>
      </c>
      <c r="E43" s="1" t="n">
        <v>46288</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46288</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46288</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46288</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24698-2023</t>
        </is>
      </c>
      <c r="B47" t="inlineStr">
        <is>
          <t>avverkningsanmälan</t>
        </is>
      </c>
      <c r="C47" t="inlineStr">
        <is>
          <t>Föryngringsavverkning</t>
        </is>
      </c>
      <c r="D47" s="1" t="n">
        <v>45084</v>
      </c>
      <c r="E47" s="1" t="n">
        <v>46288</v>
      </c>
      <c r="F47" t="inlineStr">
        <is>
          <t>KALMAR LÄN</t>
        </is>
      </c>
      <c r="G47" t="inlineStr">
        <is>
          <t>MÖRBYLÅNGA</t>
        </is>
      </c>
      <c r="I47" t="n">
        <v>5.5</v>
      </c>
      <c r="J47" t="n">
        <v>0</v>
      </c>
      <c r="K47" t="n">
        <v>0</v>
      </c>
      <c r="L47" t="n">
        <v>1</v>
      </c>
      <c r="M47" t="n">
        <v>0</v>
      </c>
      <c r="N47" t="n">
        <v>0</v>
      </c>
      <c r="O47" t="n">
        <v>0</v>
      </c>
      <c r="P47" t="n">
        <v>0</v>
      </c>
      <c r="Q47" t="n">
        <v>1</v>
      </c>
      <c r="R47" t="n">
        <v>0</v>
      </c>
      <c r="S47" t="n">
        <v>1</v>
      </c>
      <c r="T47" t="n">
        <v>1</v>
      </c>
      <c r="U47" t="n">
        <v>1</v>
      </c>
      <c r="V47" s="2" t="inlineStr">
        <is>
          <t>Sårläka</t>
        </is>
      </c>
      <c r="W47">
        <f>HYPERLINK("https://klasma.github.io/Logging_0840/artfynd/A 24698-2023 artfynd.xlsx", "A 24698-2023")</f>
        <v/>
      </c>
      <c r="X47">
        <f>HYPERLINK("https://klasma.github.io/Logging_0840/kartor/A 24698-2023 karta.png", "A 24698-2023")</f>
        <v/>
      </c>
      <c r="Y47">
        <f>HYPERLINK("https://klasma.github.io/Logging_0840/kartor_geotiff/A 24698-2023 georefererad karta.tif", "A 24698-2023")</f>
        <v/>
      </c>
      <c r="AA47">
        <f>HYPERLINK("https://klasma.github.io/Logging_0840/klagomål/A 24698-2023 FSC-klagomål.docx", "A 24698-2023")</f>
        <v/>
      </c>
      <c r="AB47">
        <f>HYPERLINK("https://klasma.github.io/Logging_0840/klagomålsmail/A 24698-2023 FSC-klagomål mail.docx", "A 24698-2023")</f>
        <v/>
      </c>
      <c r="AC47">
        <f>HYPERLINK("https://klasma.github.io/Logging_0840/tillsyn/A 24698-2023 tillsynsbegäran.docx", "A 24698-2023")</f>
        <v/>
      </c>
      <c r="AD47">
        <f>HYPERLINK("https://klasma.github.io/Logging_0840/tillsynsmail/A 24698-2023 tillsynsbegäran mail.docx", "A 24698-2023")</f>
        <v/>
      </c>
    </row>
    <row r="48" ht="15" customHeight="1">
      <c r="A48" t="inlineStr">
        <is>
          <t>A 26876-2022</t>
        </is>
      </c>
      <c r="B48" t="inlineStr">
        <is>
          <t>avverkningsanmälan</t>
        </is>
      </c>
      <c r="C48" t="inlineStr">
        <is>
          <t>Avverkning för annat ändamål</t>
        </is>
      </c>
      <c r="D48" s="1" t="n">
        <v>44740</v>
      </c>
      <c r="E48" s="1" t="n">
        <v>46288</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46288</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46288</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2026-09-23T01:53:41Z</dcterms:created>
  <dcterms:modified xmlns:dcterms="http://purl.org/dc/terms/" xmlns:xsi="http://www.w3.org/2001/XMLSchema-instance" xsi:type="dcterms:W3CDTF">2026-09-23T01:53:41Z</dcterms:modified>
</cp:coreProperties>
</file>