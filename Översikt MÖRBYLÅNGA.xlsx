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46286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46286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46286</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46286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46286</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46286</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46286</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46286</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46286</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46286</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46286</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46286</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46286</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46286</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46286</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46286</v>
      </c>
      <c r="F17" t="inlineStr">
        <is>
          <t>KALMAR LÄN</t>
        </is>
      </c>
      <c r="G17" t="inlineStr">
        <is>
          <t>MÖRBYLÅNGA</t>
        </is>
      </c>
      <c r="I17" t="n">
        <v>1</v>
      </c>
      <c r="J17" t="n">
        <v>1</v>
      </c>
      <c r="K17" t="n">
        <v>2</v>
      </c>
      <c r="L17" t="n">
        <v>7</v>
      </c>
      <c r="M17" t="n">
        <v>0</v>
      </c>
      <c r="N17" t="n">
        <v>1</v>
      </c>
      <c r="O17" t="n">
        <v>0</v>
      </c>
      <c r="P17" t="n">
        <v>0</v>
      </c>
      <c r="Q17" t="n">
        <v>8</v>
      </c>
      <c r="R17" t="n">
        <v>1</v>
      </c>
      <c r="S17" t="n">
        <v>11</v>
      </c>
      <c r="T17" t="n">
        <v>20</v>
      </c>
      <c r="U17" t="n">
        <v>20</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46286</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46286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46286</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46286</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46286</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46286</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46286</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46286</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46286</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46286</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46286</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46286</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46286</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46286</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46286</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46286</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46286</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51244-2021</t>
        </is>
      </c>
      <c r="B35" t="inlineStr">
        <is>
          <t>avverkningsanmälan</t>
        </is>
      </c>
      <c r="C35" t="inlineStr">
        <is>
          <t>Avverkning för att bevara och utveckla /försöksver</t>
        </is>
      </c>
      <c r="D35" s="1" t="n">
        <v>44460</v>
      </c>
      <c r="E35" s="1" t="n">
        <v>46286</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46286</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46286</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15600-2025</t>
        </is>
      </c>
      <c r="B38" t="inlineStr">
        <is>
          <t>avverkningsanmälan</t>
        </is>
      </c>
      <c r="C38" t="inlineStr">
        <is>
          <t>Avverkning för annat ändamål</t>
        </is>
      </c>
      <c r="D38" s="1" t="n">
        <v>45747</v>
      </c>
      <c r="E38" s="1" t="n">
        <v>46286</v>
      </c>
      <c r="F38" t="inlineStr">
        <is>
          <t>KALMAR LÄN</t>
        </is>
      </c>
      <c r="G38" t="inlineStr">
        <is>
          <t>MÖRBYLÅNGA</t>
        </is>
      </c>
      <c r="I38" t="n">
        <v>1.1</v>
      </c>
      <c r="J38" t="n">
        <v>0</v>
      </c>
      <c r="K38" t="n">
        <v>3</v>
      </c>
      <c r="L38" t="n">
        <v>0</v>
      </c>
      <c r="M38" t="n">
        <v>0</v>
      </c>
      <c r="N38" t="n">
        <v>0</v>
      </c>
      <c r="O38" t="n">
        <v>0</v>
      </c>
      <c r="P38" t="n">
        <v>0</v>
      </c>
      <c r="Q38" t="n">
        <v>0</v>
      </c>
      <c r="R38" t="n">
        <v>0</v>
      </c>
      <c r="S38" t="n">
        <v>3</v>
      </c>
      <c r="T38" t="n">
        <v>3</v>
      </c>
      <c r="U38" t="n">
        <v>1</v>
      </c>
      <c r="V38" s="2" t="inlineStr">
        <is>
          <t>Kragjordstjärna
Murgröna
Scharlakansvårskål agg.</t>
        </is>
      </c>
      <c r="W38">
        <f>HYPERLINK("https://klasma.github.io/Logging_0840/artfynd/A 15600-2025 artfynd.xlsx", "A 15600-2025")</f>
        <v/>
      </c>
      <c r="X38">
        <f>HYPERLINK("https://klasma.github.io/Logging_0840/kartor/A 15600-2025 karta.png", "A 15600-2025")</f>
        <v/>
      </c>
      <c r="Y38">
        <f>HYPERLINK("https://klasma.github.io/Logging_0840/kartor_geotiff/A 15600-2025 georefererad karta.tif", "A 15600-2025")</f>
        <v/>
      </c>
      <c r="AA38">
        <f>HYPERLINK("https://klasma.github.io/Logging_0840/klagomål/A 15600-2025 FSC-klagomål.docx", "A 15600-2025")</f>
        <v/>
      </c>
      <c r="AB38">
        <f>HYPERLINK("https://klasma.github.io/Logging_0840/klagomålsmail/A 15600-2025 FSC-klagomål mail.docx", "A 15600-2025")</f>
        <v/>
      </c>
      <c r="AC38">
        <f>HYPERLINK("https://klasma.github.io/Logging_0840/tillsyn/A 15600-2025 tillsynsbegäran.docx", "A 15600-2025")</f>
        <v/>
      </c>
      <c r="AD38">
        <f>HYPERLINK("https://klasma.github.io/Logging_0840/tillsynsmail/A 15600-2025 tillsynsbegäran mail.docx", "A 15600-2025")</f>
        <v/>
      </c>
    </row>
    <row r="39" ht="15" customHeight="1">
      <c r="A39" t="inlineStr">
        <is>
          <t>A 54192-2021</t>
        </is>
      </c>
      <c r="B39" t="inlineStr">
        <is>
          <t>avverkningsanmälan</t>
        </is>
      </c>
      <c r="C39" t="inlineStr">
        <is>
          <t>Föryngringsavverkning</t>
        </is>
      </c>
      <c r="D39" s="1" t="n">
        <v>44470</v>
      </c>
      <c r="E39" s="1" t="n">
        <v>46286</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46286</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46286</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46286</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46286</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46286</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46286</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46286</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46286</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24698-2023</t>
        </is>
      </c>
      <c r="B48" t="inlineStr">
        <is>
          <t>avverkningsanmälan</t>
        </is>
      </c>
      <c r="C48" t="inlineStr">
        <is>
          <t>Föryngringsavverkning</t>
        </is>
      </c>
      <c r="D48" s="1" t="n">
        <v>45084</v>
      </c>
      <c r="E48" s="1" t="n">
        <v>46286</v>
      </c>
      <c r="F48" t="inlineStr">
        <is>
          <t>KALMAR LÄN</t>
        </is>
      </c>
      <c r="G48" t="inlineStr">
        <is>
          <t>MÖRBYLÅNGA</t>
        </is>
      </c>
      <c r="I48" t="n">
        <v>5.5</v>
      </c>
      <c r="J48" t="n">
        <v>0</v>
      </c>
      <c r="K48" t="n">
        <v>0</v>
      </c>
      <c r="L48" t="n">
        <v>1</v>
      </c>
      <c r="M48" t="n">
        <v>0</v>
      </c>
      <c r="N48" t="n">
        <v>0</v>
      </c>
      <c r="O48" t="n">
        <v>0</v>
      </c>
      <c r="P48" t="n">
        <v>0</v>
      </c>
      <c r="Q48" t="n">
        <v>1</v>
      </c>
      <c r="R48" t="n">
        <v>0</v>
      </c>
      <c r="S48" t="n">
        <v>1</v>
      </c>
      <c r="T48" t="n">
        <v>1</v>
      </c>
      <c r="U48" t="n">
        <v>1</v>
      </c>
      <c r="V48" s="2" t="inlineStr">
        <is>
          <t>Sårläka</t>
        </is>
      </c>
      <c r="W48">
        <f>HYPERLINK("https://klasma.github.io/Logging_0840/artfynd/A 24698-2023 artfynd.xlsx", "A 24698-2023")</f>
        <v/>
      </c>
      <c r="X48">
        <f>HYPERLINK("https://klasma.github.io/Logging_0840/kartor/A 24698-2023 karta.png", "A 24698-2023")</f>
        <v/>
      </c>
      <c r="Y48">
        <f>HYPERLINK("https://klasma.github.io/Logging_0840/kartor_geotiff/A 24698-2023 georefererad karta.tif", "A 24698-2023")</f>
        <v/>
      </c>
      <c r="AA48">
        <f>HYPERLINK("https://klasma.github.io/Logging_0840/klagomål/A 24698-2023 FSC-klagomål.docx", "A 24698-2023")</f>
        <v/>
      </c>
      <c r="AB48">
        <f>HYPERLINK("https://klasma.github.io/Logging_0840/klagomålsmail/A 24698-2023 FSC-klagomål mail.docx", "A 24698-2023")</f>
        <v/>
      </c>
      <c r="AC48">
        <f>HYPERLINK("https://klasma.github.io/Logging_0840/tillsyn/A 24698-2023 tillsynsbegäran.docx", "A 24698-2023")</f>
        <v/>
      </c>
      <c r="AD48">
        <f>HYPERLINK("https://klasma.github.io/Logging_0840/tillsynsmail/A 24698-2023 tillsynsbegäran mail.docx", "A 24698-2023")</f>
        <v/>
      </c>
    </row>
    <row r="49" ht="15" customHeight="1">
      <c r="A49" t="inlineStr">
        <is>
          <t>A 26876-2022</t>
        </is>
      </c>
      <c r="B49" t="inlineStr">
        <is>
          <t>avverkningsanmälan</t>
        </is>
      </c>
      <c r="C49" t="inlineStr">
        <is>
          <t>Avverkning för annat ändamål</t>
        </is>
      </c>
      <c r="D49" s="1" t="n">
        <v>44740</v>
      </c>
      <c r="E49" s="1" t="n">
        <v>46286</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46286</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46286</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2026-09-21T02:00:46Z</dcterms:created>
  <dcterms:modified xmlns:dcterms="http://purl.org/dc/terms/" xmlns:xsi="http://www.w3.org/2001/XMLSchema-instance" xsi:type="dcterms:W3CDTF">2026-09-21T02:00:46Z</dcterms:modified>
</cp:coreProperties>
</file>