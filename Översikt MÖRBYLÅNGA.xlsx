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45925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45925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45925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21219-2023</t>
        </is>
      </c>
      <c r="B5" s="1" t="n">
        <v>45062</v>
      </c>
      <c r="C5" s="1" t="n">
        <v>45925</v>
      </c>
      <c r="D5" t="inlineStr">
        <is>
          <t>KALMAR LÄN</t>
        </is>
      </c>
      <c r="E5" t="inlineStr">
        <is>
          <t>MÖRBYLÅNGA</t>
        </is>
      </c>
      <c r="G5" t="n">
        <v>2.6</v>
      </c>
      <c r="H5" t="n">
        <v>7</v>
      </c>
      <c r="I5" t="n">
        <v>11</v>
      </c>
      <c r="J5" t="n">
        <v>1</v>
      </c>
      <c r="K5" t="n">
        <v>0</v>
      </c>
      <c r="L5" t="n">
        <v>1</v>
      </c>
      <c r="M5" t="n">
        <v>0</v>
      </c>
      <c r="N5" t="n">
        <v>0</v>
      </c>
      <c r="O5" t="n">
        <v>2</v>
      </c>
      <c r="P5" t="n">
        <v>1</v>
      </c>
      <c r="Q5" t="n">
        <v>16</v>
      </c>
      <c r="R5" s="2" t="inlineStr">
        <is>
          <t>Ask
Olivbrun spindling
Grov baronmossa
Murgröna
Nästrot
Platt fjädermossa
Purpurknipprot
Skogsknipprot
Strimspindling
Sårläka
Traslav
Tvåblad
Underviol
Fläcknycklar
Blåsippa
Gullviva</t>
        </is>
      </c>
      <c r="S5">
        <f>HYPERLINK("https://klasma.github.io/Logging_0840/artfynd/A 21219-2023 artfynd.xlsx", "A 21219-2023")</f>
        <v/>
      </c>
      <c r="T5">
        <f>HYPERLINK("https://klasma.github.io/Logging_0840/kartor/A 21219-2023 karta.png", "A 21219-2023")</f>
        <v/>
      </c>
      <c r="V5">
        <f>HYPERLINK("https://klasma.github.io/Logging_0840/klagomål/A 21219-2023 FSC-klagomål.docx", "A 21219-2023")</f>
        <v/>
      </c>
      <c r="W5">
        <f>HYPERLINK("https://klasma.github.io/Logging_0840/klagomålsmail/A 21219-2023 FSC-klagomål mail.docx", "A 21219-2023")</f>
        <v/>
      </c>
      <c r="X5">
        <f>HYPERLINK("https://klasma.github.io/Logging_0840/tillsyn/A 21219-2023 tillsynsbegäran.docx", "A 21219-2023")</f>
        <v/>
      </c>
      <c r="Y5">
        <f>HYPERLINK("https://klasma.github.io/Logging_0840/tillsynsmail/A 21219-2023 tillsynsbegäran mail.docx", "A 21219-2023")</f>
        <v/>
      </c>
    </row>
    <row r="6" ht="15" customHeight="1">
      <c r="A6" t="inlineStr">
        <is>
          <t>A 27865-2024</t>
        </is>
      </c>
      <c r="B6" s="1" t="n">
        <v>45475.67303240741</v>
      </c>
      <c r="C6" s="1" t="n">
        <v>45925</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65163-2020</t>
        </is>
      </c>
      <c r="B7" s="1" t="n">
        <v>44172</v>
      </c>
      <c r="C7" s="1" t="n">
        <v>45925</v>
      </c>
      <c r="D7" t="inlineStr">
        <is>
          <t>KALMAR LÄN</t>
        </is>
      </c>
      <c r="E7" t="inlineStr">
        <is>
          <t>MÖRBYLÅNGA</t>
        </is>
      </c>
      <c r="G7" t="n">
        <v>16.8</v>
      </c>
      <c r="H7" t="n">
        <v>2</v>
      </c>
      <c r="I7" t="n">
        <v>3</v>
      </c>
      <c r="J7" t="n">
        <v>6</v>
      </c>
      <c r="K7" t="n">
        <v>1</v>
      </c>
      <c r="L7" t="n">
        <v>0</v>
      </c>
      <c r="M7" t="n">
        <v>0</v>
      </c>
      <c r="N7" t="n">
        <v>0</v>
      </c>
      <c r="O7" t="n">
        <v>7</v>
      </c>
      <c r="P7" t="n">
        <v>1</v>
      </c>
      <c r="Q7" t="n">
        <v>10</v>
      </c>
      <c r="R7" s="2" t="inlineStr">
        <is>
          <t>Liten diskröksvamp
Dvärgjordstjärna
Fyrflikig jordstjärna
Fågelarv
Klibbveronika
Mindre hackspett
Rakhorndyvel
Ekoxe
Murgröna
Rödbrun jordstjärna</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45925</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45925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45925</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45925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45925</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45925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45925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43714-2025</t>
        </is>
      </c>
      <c r="B15" s="1" t="n">
        <v>45912.40814814815</v>
      </c>
      <c r="C15" s="1" t="n">
        <v>45925</v>
      </c>
      <c r="D15" t="inlineStr">
        <is>
          <t>KALMAR LÄN</t>
        </is>
      </c>
      <c r="E15" t="inlineStr">
        <is>
          <t>MÖRBYLÅNGA</t>
        </is>
      </c>
      <c r="G15" t="n">
        <v>7.9</v>
      </c>
      <c r="H15" t="n">
        <v>1</v>
      </c>
      <c r="I15" t="n">
        <v>1</v>
      </c>
      <c r="J15" t="n">
        <v>4</v>
      </c>
      <c r="K15" t="n">
        <v>0</v>
      </c>
      <c r="L15" t="n">
        <v>0</v>
      </c>
      <c r="M15" t="n">
        <v>0</v>
      </c>
      <c r="N15" t="n">
        <v>0</v>
      </c>
      <c r="O15" t="n">
        <v>4</v>
      </c>
      <c r="P15" t="n">
        <v>0</v>
      </c>
      <c r="Q15" t="n">
        <v>5</v>
      </c>
      <c r="R15" s="2" t="inlineStr">
        <is>
          <t>Alvarsandbi
Grönsångare
Mindre bastardsvärmare
Sexfläckig bastardsvärmare
Tibast</t>
        </is>
      </c>
      <c r="S15">
        <f>HYPERLINK("https://klasma.github.io/Logging_0840/artfynd/A 43714-2025 artfynd.xlsx", "A 43714-2025")</f>
        <v/>
      </c>
      <c r="T15">
        <f>HYPERLINK("https://klasma.github.io/Logging_0840/kartor/A 43714-2025 karta.png", "A 43714-2025")</f>
        <v/>
      </c>
      <c r="V15">
        <f>HYPERLINK("https://klasma.github.io/Logging_0840/klagomål/A 43714-2025 FSC-klagomål.docx", "A 43714-2025")</f>
        <v/>
      </c>
      <c r="W15">
        <f>HYPERLINK("https://klasma.github.io/Logging_0840/klagomålsmail/A 43714-2025 FSC-klagomål mail.docx", "A 43714-2025")</f>
        <v/>
      </c>
      <c r="X15">
        <f>HYPERLINK("https://klasma.github.io/Logging_0840/tillsyn/A 43714-2025 tillsynsbegäran.docx", "A 43714-2025")</f>
        <v/>
      </c>
      <c r="Y15">
        <f>HYPERLINK("https://klasma.github.io/Logging_0840/tillsynsmail/A 43714-2025 tillsynsbegäran mail.docx", "A 43714-2025")</f>
        <v/>
      </c>
      <c r="Z15">
        <f>HYPERLINK("https://klasma.github.io/Logging_0840/fåglar/A 43714-2025 prioriterade fågelarter.docx", "A 43714-2025")</f>
        <v/>
      </c>
    </row>
    <row r="16" ht="15" customHeight="1">
      <c r="A16" t="inlineStr">
        <is>
          <t>A 39320-2024</t>
        </is>
      </c>
      <c r="B16" s="1" t="n">
        <v>45551</v>
      </c>
      <c r="C16" s="1" t="n">
        <v>45925</v>
      </c>
      <c r="D16" t="inlineStr">
        <is>
          <t>KALMAR LÄN</t>
        </is>
      </c>
      <c r="E16" t="inlineStr">
        <is>
          <t>MÖRBYLÅNGA</t>
        </is>
      </c>
      <c r="G16" t="n">
        <v>3.3</v>
      </c>
      <c r="H16" t="n">
        <v>1</v>
      </c>
      <c r="I16" t="n">
        <v>2</v>
      </c>
      <c r="J16" t="n">
        <v>1</v>
      </c>
      <c r="K16" t="n">
        <v>1</v>
      </c>
      <c r="L16" t="n">
        <v>0</v>
      </c>
      <c r="M16" t="n">
        <v>0</v>
      </c>
      <c r="N16" t="n">
        <v>0</v>
      </c>
      <c r="O16" t="n">
        <v>2</v>
      </c>
      <c r="P16" t="n">
        <v>1</v>
      </c>
      <c r="Q16" t="n">
        <v>5</v>
      </c>
      <c r="R16" s="2" t="inlineStr">
        <is>
          <t>Toppjungfrulin
Korskovall
Underviol
Vårärt
Skogsduva</t>
        </is>
      </c>
      <c r="S16">
        <f>HYPERLINK("https://klasma.github.io/Logging_0840/artfynd/A 39320-2024 artfynd.xlsx", "A 39320-2024")</f>
        <v/>
      </c>
      <c r="T16">
        <f>HYPERLINK("https://klasma.github.io/Logging_0840/kartor/A 39320-2024 karta.png", "A 39320-2024")</f>
        <v/>
      </c>
      <c r="V16">
        <f>HYPERLINK("https://klasma.github.io/Logging_0840/klagomål/A 39320-2024 FSC-klagomål.docx", "A 39320-2024")</f>
        <v/>
      </c>
      <c r="W16">
        <f>HYPERLINK("https://klasma.github.io/Logging_0840/klagomålsmail/A 39320-2024 FSC-klagomål mail.docx", "A 39320-2024")</f>
        <v/>
      </c>
      <c r="X16">
        <f>HYPERLINK("https://klasma.github.io/Logging_0840/tillsyn/A 39320-2024 tillsynsbegäran.docx", "A 39320-2024")</f>
        <v/>
      </c>
      <c r="Y16">
        <f>HYPERLINK("https://klasma.github.io/Logging_0840/tillsynsmail/A 39320-2024 tillsynsbegäran mail.docx", "A 39320-2024")</f>
        <v/>
      </c>
      <c r="Z16">
        <f>HYPERLINK("https://klasma.github.io/Logging_0840/fåglar/A 39320-2024 prioriterade fågelarter.docx", "A 39320-2024")</f>
        <v/>
      </c>
    </row>
    <row r="17" ht="15" customHeight="1">
      <c r="A17" t="inlineStr">
        <is>
          <t>A 61854-2020</t>
        </is>
      </c>
      <c r="B17" s="1" t="n">
        <v>44155</v>
      </c>
      <c r="C17" s="1" t="n">
        <v>45925</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54167-2024</t>
        </is>
      </c>
      <c r="B18" s="1" t="n">
        <v>45616.62196759259</v>
      </c>
      <c r="C18" s="1" t="n">
        <v>45925</v>
      </c>
      <c r="D18" t="inlineStr">
        <is>
          <t>KALMAR LÄN</t>
        </is>
      </c>
      <c r="E18" t="inlineStr">
        <is>
          <t>MÖRBYLÅNGA</t>
        </is>
      </c>
      <c r="G18" t="n">
        <v>1.5</v>
      </c>
      <c r="H18" t="n">
        <v>2</v>
      </c>
      <c r="I18" t="n">
        <v>2</v>
      </c>
      <c r="J18" t="n">
        <v>0</v>
      </c>
      <c r="K18" t="n">
        <v>0</v>
      </c>
      <c r="L18" t="n">
        <v>1</v>
      </c>
      <c r="M18" t="n">
        <v>0</v>
      </c>
      <c r="N18" t="n">
        <v>0</v>
      </c>
      <c r="O18" t="n">
        <v>1</v>
      </c>
      <c r="P18" t="n">
        <v>1</v>
      </c>
      <c r="Q18" t="n">
        <v>4</v>
      </c>
      <c r="R18" s="2" t="inlineStr">
        <is>
          <t>Ask
Murgröna
Tvåblad
Blåsippa</t>
        </is>
      </c>
      <c r="S18">
        <f>HYPERLINK("https://klasma.github.io/Logging_0840/artfynd/A 54167-2024 artfynd.xlsx", "A 54167-2024")</f>
        <v/>
      </c>
      <c r="T18">
        <f>HYPERLINK("https://klasma.github.io/Logging_0840/kartor/A 54167-2024 karta.png", "A 54167-2024")</f>
        <v/>
      </c>
      <c r="V18">
        <f>HYPERLINK("https://klasma.github.io/Logging_0840/klagomål/A 54167-2024 FSC-klagomål.docx", "A 54167-2024")</f>
        <v/>
      </c>
      <c r="W18">
        <f>HYPERLINK("https://klasma.github.io/Logging_0840/klagomålsmail/A 54167-2024 FSC-klagomål mail.docx", "A 54167-2024")</f>
        <v/>
      </c>
      <c r="X18">
        <f>HYPERLINK("https://klasma.github.io/Logging_0840/tillsyn/A 54167-2024 tillsynsbegäran.docx", "A 54167-2024")</f>
        <v/>
      </c>
      <c r="Y18">
        <f>HYPERLINK("https://klasma.github.io/Logging_0840/tillsynsmail/A 54167-2024 tillsynsbegäran mail.docx", "A 54167-2024")</f>
        <v/>
      </c>
    </row>
    <row r="19" ht="15" customHeight="1">
      <c r="A19" t="inlineStr">
        <is>
          <t>A 52906-2021</t>
        </is>
      </c>
      <c r="B19" s="1" t="n">
        <v>44467</v>
      </c>
      <c r="C19" s="1" t="n">
        <v>45925</v>
      </c>
      <c r="D19" t="inlineStr">
        <is>
          <t>KALMAR LÄN</t>
        </is>
      </c>
      <c r="E19" t="inlineStr">
        <is>
          <t>MÖRBYLÅNGA</t>
        </is>
      </c>
      <c r="G19" t="n">
        <v>2.1</v>
      </c>
      <c r="H19" t="n">
        <v>2</v>
      </c>
      <c r="I19" t="n">
        <v>1</v>
      </c>
      <c r="J19" t="n">
        <v>2</v>
      </c>
      <c r="K19" t="n">
        <v>0</v>
      </c>
      <c r="L19" t="n">
        <v>0</v>
      </c>
      <c r="M19" t="n">
        <v>0</v>
      </c>
      <c r="N19" t="n">
        <v>0</v>
      </c>
      <c r="O19" t="n">
        <v>2</v>
      </c>
      <c r="P19" t="n">
        <v>0</v>
      </c>
      <c r="Q19" t="n">
        <v>3</v>
      </c>
      <c r="R19" s="2" t="inlineStr">
        <is>
          <t>Gulsparv
Rödvingetrast
Lindspindling</t>
        </is>
      </c>
      <c r="S19">
        <f>HYPERLINK("https://klasma.github.io/Logging_0840/artfynd/A 52906-2021 artfynd.xlsx", "A 52906-2021")</f>
        <v/>
      </c>
      <c r="T19">
        <f>HYPERLINK("https://klasma.github.io/Logging_0840/kartor/A 52906-2021 karta.png", "A 52906-2021")</f>
        <v/>
      </c>
      <c r="V19">
        <f>HYPERLINK("https://klasma.github.io/Logging_0840/klagomål/A 52906-2021 FSC-klagomål.docx", "A 52906-2021")</f>
        <v/>
      </c>
      <c r="W19">
        <f>HYPERLINK("https://klasma.github.io/Logging_0840/klagomålsmail/A 52906-2021 FSC-klagomål mail.docx", "A 52906-2021")</f>
        <v/>
      </c>
      <c r="X19">
        <f>HYPERLINK("https://klasma.github.io/Logging_0840/tillsyn/A 52906-2021 tillsynsbegäran.docx", "A 52906-2021")</f>
        <v/>
      </c>
      <c r="Y19">
        <f>HYPERLINK("https://klasma.github.io/Logging_0840/tillsynsmail/A 52906-2021 tillsynsbegäran mail.docx", "A 52906-2021")</f>
        <v/>
      </c>
      <c r="Z19">
        <f>HYPERLINK("https://klasma.github.io/Logging_0840/fåglar/A 52906-2021 prioriterade fågelarter.docx", "A 52906-2021")</f>
        <v/>
      </c>
    </row>
    <row r="20" ht="15" customHeight="1">
      <c r="A20" t="inlineStr">
        <is>
          <t>A 57704-2020</t>
        </is>
      </c>
      <c r="B20" s="1" t="n">
        <v>44140</v>
      </c>
      <c r="C20" s="1" t="n">
        <v>45925</v>
      </c>
      <c r="D20" t="inlineStr">
        <is>
          <t>KALMAR LÄN</t>
        </is>
      </c>
      <c r="E20" t="inlineStr">
        <is>
          <t>MÖRBYLÅNGA</t>
        </is>
      </c>
      <c r="G20" t="n">
        <v>2.5</v>
      </c>
      <c r="H20" t="n">
        <v>0</v>
      </c>
      <c r="I20" t="n">
        <v>0</v>
      </c>
      <c r="J20" t="n">
        <v>3</v>
      </c>
      <c r="K20" t="n">
        <v>0</v>
      </c>
      <c r="L20" t="n">
        <v>0</v>
      </c>
      <c r="M20" t="n">
        <v>0</v>
      </c>
      <c r="N20" t="n">
        <v>0</v>
      </c>
      <c r="O20" t="n">
        <v>3</v>
      </c>
      <c r="P20" t="n">
        <v>0</v>
      </c>
      <c r="Q20" t="n">
        <v>3</v>
      </c>
      <c r="R20" s="2" t="inlineStr">
        <is>
          <t>Ekträdlöpare
Jordtistel
Vanlig sandviol</t>
        </is>
      </c>
      <c r="S20">
        <f>HYPERLINK("https://klasma.github.io/Logging_0840/artfynd/A 57704-2020 artfynd.xlsx", "A 57704-2020")</f>
        <v/>
      </c>
      <c r="T20">
        <f>HYPERLINK("https://klasma.github.io/Logging_0840/kartor/A 57704-2020 karta.png", "A 57704-2020")</f>
        <v/>
      </c>
      <c r="V20">
        <f>HYPERLINK("https://klasma.github.io/Logging_0840/klagomål/A 57704-2020 FSC-klagomål.docx", "A 57704-2020")</f>
        <v/>
      </c>
      <c r="W20">
        <f>HYPERLINK("https://klasma.github.io/Logging_0840/klagomålsmail/A 57704-2020 FSC-klagomål mail.docx", "A 57704-2020")</f>
        <v/>
      </c>
      <c r="X20">
        <f>HYPERLINK("https://klasma.github.io/Logging_0840/tillsyn/A 57704-2020 tillsynsbegäran.docx", "A 57704-2020")</f>
        <v/>
      </c>
      <c r="Y20">
        <f>HYPERLINK("https://klasma.github.io/Logging_0840/tillsynsmail/A 57704-2020 tillsynsbegäran mail.docx", "A 57704-2020")</f>
        <v/>
      </c>
    </row>
    <row r="21" ht="15" customHeight="1">
      <c r="A21" t="inlineStr">
        <is>
          <t>A 35242-2024</t>
        </is>
      </c>
      <c r="B21" s="1" t="n">
        <v>45530.55440972222</v>
      </c>
      <c r="C21" s="1" t="n">
        <v>45925</v>
      </c>
      <c r="D21" t="inlineStr">
        <is>
          <t>KALMAR LÄN</t>
        </is>
      </c>
      <c r="E21" t="inlineStr">
        <is>
          <t>MÖRBYLÅNGA</t>
        </is>
      </c>
      <c r="G21" t="n">
        <v>0.9</v>
      </c>
      <c r="H21" t="n">
        <v>1</v>
      </c>
      <c r="I21" t="n">
        <v>2</v>
      </c>
      <c r="J21" t="n">
        <v>0</v>
      </c>
      <c r="K21" t="n">
        <v>0</v>
      </c>
      <c r="L21" t="n">
        <v>1</v>
      </c>
      <c r="M21" t="n">
        <v>0</v>
      </c>
      <c r="N21" t="n">
        <v>0</v>
      </c>
      <c r="O21" t="n">
        <v>1</v>
      </c>
      <c r="P21" t="n">
        <v>1</v>
      </c>
      <c r="Q21" t="n">
        <v>3</v>
      </c>
      <c r="R21" s="2" t="inlineStr">
        <is>
          <t>Ryl
Grönpyrola
Skogsknipprot</t>
        </is>
      </c>
      <c r="S21">
        <f>HYPERLINK("https://klasma.github.io/Logging_0840/artfynd/A 35242-2024 artfynd.xlsx", "A 35242-2024")</f>
        <v/>
      </c>
      <c r="T21">
        <f>HYPERLINK("https://klasma.github.io/Logging_0840/kartor/A 35242-2024 karta.png", "A 35242-2024")</f>
        <v/>
      </c>
      <c r="V21">
        <f>HYPERLINK("https://klasma.github.io/Logging_0840/klagomål/A 35242-2024 FSC-klagomål.docx", "A 35242-2024")</f>
        <v/>
      </c>
      <c r="W21">
        <f>HYPERLINK("https://klasma.github.io/Logging_0840/klagomålsmail/A 35242-2024 FSC-klagomål mail.docx", "A 35242-2024")</f>
        <v/>
      </c>
      <c r="X21">
        <f>HYPERLINK("https://klasma.github.io/Logging_0840/tillsyn/A 35242-2024 tillsynsbegäran.docx", "A 35242-2024")</f>
        <v/>
      </c>
      <c r="Y21">
        <f>HYPERLINK("https://klasma.github.io/Logging_0840/tillsynsmail/A 35242-2024 tillsynsbegäran mail.docx", "A 35242-2024")</f>
        <v/>
      </c>
    </row>
    <row r="22" ht="15" customHeight="1">
      <c r="A22" t="inlineStr">
        <is>
          <t>A 40361-2023</t>
        </is>
      </c>
      <c r="B22" s="1" t="n">
        <v>45169</v>
      </c>
      <c r="C22" s="1" t="n">
        <v>45925</v>
      </c>
      <c r="D22" t="inlineStr">
        <is>
          <t>KALMAR LÄN</t>
        </is>
      </c>
      <c r="E22" t="inlineStr">
        <is>
          <t>MÖRBYLÅNGA</t>
        </is>
      </c>
      <c r="G22" t="n">
        <v>1.1</v>
      </c>
      <c r="H22" t="n">
        <v>0</v>
      </c>
      <c r="I22" t="n">
        <v>0</v>
      </c>
      <c r="J22" t="n">
        <v>1</v>
      </c>
      <c r="K22" t="n">
        <v>0</v>
      </c>
      <c r="L22" t="n">
        <v>0</v>
      </c>
      <c r="M22" t="n">
        <v>1</v>
      </c>
      <c r="N22" t="n">
        <v>0</v>
      </c>
      <c r="O22" t="n">
        <v>2</v>
      </c>
      <c r="P22" t="n">
        <v>1</v>
      </c>
      <c r="Q22" t="n">
        <v>2</v>
      </c>
      <c r="R22" s="2" t="inlineStr">
        <is>
          <t>Lundalm
Ängsskära</t>
        </is>
      </c>
      <c r="S22">
        <f>HYPERLINK("https://klasma.github.io/Logging_0840/artfynd/A 40361-2023 artfynd.xlsx", "A 40361-2023")</f>
        <v/>
      </c>
      <c r="T22">
        <f>HYPERLINK("https://klasma.github.io/Logging_0840/kartor/A 40361-2023 karta.png", "A 40361-2023")</f>
        <v/>
      </c>
      <c r="V22">
        <f>HYPERLINK("https://klasma.github.io/Logging_0840/klagomål/A 40361-2023 FSC-klagomål.docx", "A 40361-2023")</f>
        <v/>
      </c>
      <c r="W22">
        <f>HYPERLINK("https://klasma.github.io/Logging_0840/klagomålsmail/A 40361-2023 FSC-klagomål mail.docx", "A 40361-2023")</f>
        <v/>
      </c>
      <c r="X22">
        <f>HYPERLINK("https://klasma.github.io/Logging_0840/tillsyn/A 40361-2023 tillsynsbegäran.docx", "A 40361-2023")</f>
        <v/>
      </c>
      <c r="Y22">
        <f>HYPERLINK("https://klasma.github.io/Logging_0840/tillsynsmail/A 40361-2023 tillsynsbegäran mail.docx", "A 40361-2023")</f>
        <v/>
      </c>
    </row>
    <row r="23" ht="15" customHeight="1">
      <c r="A23" t="inlineStr">
        <is>
          <t>A 15600-2025</t>
        </is>
      </c>
      <c r="B23" s="1" t="n">
        <v>45747</v>
      </c>
      <c r="C23" s="1" t="n">
        <v>45925</v>
      </c>
      <c r="D23" t="inlineStr">
        <is>
          <t>KALMAR LÄN</t>
        </is>
      </c>
      <c r="E23" t="inlineStr">
        <is>
          <t>MÖRBYLÅNGA</t>
        </is>
      </c>
      <c r="G23" t="n">
        <v>1.1</v>
      </c>
      <c r="H23" t="n">
        <v>0</v>
      </c>
      <c r="I23" t="n">
        <v>2</v>
      </c>
      <c r="J23" t="n">
        <v>0</v>
      </c>
      <c r="K23" t="n">
        <v>0</v>
      </c>
      <c r="L23" t="n">
        <v>0</v>
      </c>
      <c r="M23" t="n">
        <v>0</v>
      </c>
      <c r="N23" t="n">
        <v>0</v>
      </c>
      <c r="O23" t="n">
        <v>0</v>
      </c>
      <c r="P23" t="n">
        <v>0</v>
      </c>
      <c r="Q23" t="n">
        <v>2</v>
      </c>
      <c r="R23" s="2" t="inlineStr">
        <is>
          <t>Murgröna
Scharlakansvårskål agg.</t>
        </is>
      </c>
      <c r="S23">
        <f>HYPERLINK("https://klasma.github.io/Logging_0840/artfynd/A 15600-2025 artfynd.xlsx", "A 15600-2025")</f>
        <v/>
      </c>
      <c r="T23">
        <f>HYPERLINK("https://klasma.github.io/Logging_0840/kartor/A 15600-2025 karta.png", "A 15600-2025")</f>
        <v/>
      </c>
      <c r="V23">
        <f>HYPERLINK("https://klasma.github.io/Logging_0840/klagomål/A 15600-2025 FSC-klagomål.docx", "A 15600-2025")</f>
        <v/>
      </c>
      <c r="W23">
        <f>HYPERLINK("https://klasma.github.io/Logging_0840/klagomålsmail/A 15600-2025 FSC-klagomål mail.docx", "A 15600-2025")</f>
        <v/>
      </c>
      <c r="X23">
        <f>HYPERLINK("https://klasma.github.io/Logging_0840/tillsyn/A 15600-2025 tillsynsbegäran.docx", "A 15600-2025")</f>
        <v/>
      </c>
      <c r="Y23">
        <f>HYPERLINK("https://klasma.github.io/Logging_0840/tillsynsmail/A 15600-2025 tillsynsbegäran mail.docx", "A 15600-2025")</f>
        <v/>
      </c>
    </row>
    <row r="24" ht="15" customHeight="1">
      <c r="A24" t="inlineStr">
        <is>
          <t>A 62231-2023</t>
        </is>
      </c>
      <c r="B24" s="1" t="n">
        <v>45267</v>
      </c>
      <c r="C24" s="1" t="n">
        <v>45925</v>
      </c>
      <c r="D24" t="inlineStr">
        <is>
          <t>KALMAR LÄN</t>
        </is>
      </c>
      <c r="E24" t="inlineStr">
        <is>
          <t>MÖRBYLÅNGA</t>
        </is>
      </c>
      <c r="G24" t="n">
        <v>1.6</v>
      </c>
      <c r="H24" t="n">
        <v>1</v>
      </c>
      <c r="I24" t="n">
        <v>1</v>
      </c>
      <c r="J24" t="n">
        <v>0</v>
      </c>
      <c r="K24" t="n">
        <v>0</v>
      </c>
      <c r="L24" t="n">
        <v>0</v>
      </c>
      <c r="M24" t="n">
        <v>0</v>
      </c>
      <c r="N24" t="n">
        <v>0</v>
      </c>
      <c r="O24" t="n">
        <v>0</v>
      </c>
      <c r="P24" t="n">
        <v>0</v>
      </c>
      <c r="Q24" t="n">
        <v>2</v>
      </c>
      <c r="R24" s="2" t="inlineStr">
        <is>
          <t>Murgröna
Blåsippa</t>
        </is>
      </c>
      <c r="S24">
        <f>HYPERLINK("https://klasma.github.io/Logging_0840/artfynd/A 62231-2023 artfynd.xlsx", "A 62231-2023")</f>
        <v/>
      </c>
      <c r="T24">
        <f>HYPERLINK("https://klasma.github.io/Logging_0840/kartor/A 62231-2023 karta.png", "A 62231-2023")</f>
        <v/>
      </c>
      <c r="V24">
        <f>HYPERLINK("https://klasma.github.io/Logging_0840/klagomål/A 62231-2023 FSC-klagomål.docx", "A 62231-2023")</f>
        <v/>
      </c>
      <c r="W24">
        <f>HYPERLINK("https://klasma.github.io/Logging_0840/klagomålsmail/A 62231-2023 FSC-klagomål mail.docx", "A 62231-2023")</f>
        <v/>
      </c>
      <c r="X24">
        <f>HYPERLINK("https://klasma.github.io/Logging_0840/tillsyn/A 62231-2023 tillsynsbegäran.docx", "A 62231-2023")</f>
        <v/>
      </c>
      <c r="Y24">
        <f>HYPERLINK("https://klasma.github.io/Logging_0840/tillsynsmail/A 62231-2023 tillsynsbegäran mail.docx", "A 62231-2023")</f>
        <v/>
      </c>
    </row>
    <row r="25" ht="15" customHeight="1">
      <c r="A25" t="inlineStr">
        <is>
          <t>A 54192-2021</t>
        </is>
      </c>
      <c r="B25" s="1" t="n">
        <v>44470</v>
      </c>
      <c r="C25" s="1" t="n">
        <v>45925</v>
      </c>
      <c r="D25" t="inlineStr">
        <is>
          <t>KALMAR LÄN</t>
        </is>
      </c>
      <c r="E25" t="inlineStr">
        <is>
          <t>MÖRBYLÅNGA</t>
        </is>
      </c>
      <c r="G25" t="n">
        <v>1.5</v>
      </c>
      <c r="H25" t="n">
        <v>0</v>
      </c>
      <c r="I25" t="n">
        <v>0</v>
      </c>
      <c r="J25" t="n">
        <v>1</v>
      </c>
      <c r="K25" t="n">
        <v>0</v>
      </c>
      <c r="L25" t="n">
        <v>0</v>
      </c>
      <c r="M25" t="n">
        <v>0</v>
      </c>
      <c r="N25" t="n">
        <v>0</v>
      </c>
      <c r="O25" t="n">
        <v>1</v>
      </c>
      <c r="P25" t="n">
        <v>0</v>
      </c>
      <c r="Q25" t="n">
        <v>1</v>
      </c>
      <c r="R25" s="2" t="inlineStr">
        <is>
          <t>Sminkrot</t>
        </is>
      </c>
      <c r="S25">
        <f>HYPERLINK("https://klasma.github.io/Logging_0840/artfynd/A 54192-2021 artfynd.xlsx", "A 54192-2021")</f>
        <v/>
      </c>
      <c r="T25">
        <f>HYPERLINK("https://klasma.github.io/Logging_0840/kartor/A 54192-2021 karta.png", "A 54192-2021")</f>
        <v/>
      </c>
      <c r="V25">
        <f>HYPERLINK("https://klasma.github.io/Logging_0840/klagomål/A 54192-2021 FSC-klagomål.docx", "A 54192-2021")</f>
        <v/>
      </c>
      <c r="W25">
        <f>HYPERLINK("https://klasma.github.io/Logging_0840/klagomålsmail/A 54192-2021 FSC-klagomål mail.docx", "A 54192-2021")</f>
        <v/>
      </c>
      <c r="X25">
        <f>HYPERLINK("https://klasma.github.io/Logging_0840/tillsyn/A 54192-2021 tillsynsbegäran.docx", "A 54192-2021")</f>
        <v/>
      </c>
      <c r="Y25">
        <f>HYPERLINK("https://klasma.github.io/Logging_0840/tillsynsmail/A 54192-2021 tillsynsbegäran mail.docx", "A 54192-2021")</f>
        <v/>
      </c>
    </row>
    <row r="26" ht="15" customHeight="1">
      <c r="A26" t="inlineStr">
        <is>
          <t>A 51244-2021</t>
        </is>
      </c>
      <c r="B26" s="1" t="n">
        <v>44460</v>
      </c>
      <c r="C26" s="1" t="n">
        <v>45925</v>
      </c>
      <c r="D26" t="inlineStr">
        <is>
          <t>KALMAR LÄN</t>
        </is>
      </c>
      <c r="E26" t="inlineStr">
        <is>
          <t>MÖRBYLÅNGA</t>
        </is>
      </c>
      <c r="G26" t="n">
        <v>1.9</v>
      </c>
      <c r="H26" t="n">
        <v>0</v>
      </c>
      <c r="I26" t="n">
        <v>0</v>
      </c>
      <c r="J26" t="n">
        <v>0</v>
      </c>
      <c r="K26" t="n">
        <v>0</v>
      </c>
      <c r="L26" t="n">
        <v>1</v>
      </c>
      <c r="M26" t="n">
        <v>0</v>
      </c>
      <c r="N26" t="n">
        <v>0</v>
      </c>
      <c r="O26" t="n">
        <v>1</v>
      </c>
      <c r="P26" t="n">
        <v>1</v>
      </c>
      <c r="Q26" t="n">
        <v>1</v>
      </c>
      <c r="R26" s="2" t="inlineStr">
        <is>
          <t>Stäppbandbi</t>
        </is>
      </c>
      <c r="S26">
        <f>HYPERLINK("https://klasma.github.io/Logging_0840/artfynd/A 51244-2021 artfynd.xlsx", "A 51244-2021")</f>
        <v/>
      </c>
      <c r="T26">
        <f>HYPERLINK("https://klasma.github.io/Logging_0840/kartor/A 51244-2021 karta.png", "A 51244-2021")</f>
        <v/>
      </c>
      <c r="V26">
        <f>HYPERLINK("https://klasma.github.io/Logging_0840/klagomål/A 51244-2021 FSC-klagomål.docx", "A 51244-2021")</f>
        <v/>
      </c>
      <c r="W26">
        <f>HYPERLINK("https://klasma.github.io/Logging_0840/klagomålsmail/A 51244-2021 FSC-klagomål mail.docx", "A 51244-2021")</f>
        <v/>
      </c>
      <c r="X26">
        <f>HYPERLINK("https://klasma.github.io/Logging_0840/tillsyn/A 51244-2021 tillsynsbegäran.docx", "A 51244-2021")</f>
        <v/>
      </c>
      <c r="Y26">
        <f>HYPERLINK("https://klasma.github.io/Logging_0840/tillsynsmail/A 51244-2021 tillsynsbegäran mail.docx", "A 51244-2021")</f>
        <v/>
      </c>
    </row>
    <row r="27" ht="15" customHeight="1">
      <c r="A27" t="inlineStr">
        <is>
          <t>A 19459-2023</t>
        </is>
      </c>
      <c r="B27" s="1" t="n">
        <v>45049</v>
      </c>
      <c r="C27" s="1" t="n">
        <v>45925</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43702-2025</t>
        </is>
      </c>
      <c r="B28" s="1" t="n">
        <v>45912.40270833333</v>
      </c>
      <c r="C28" s="1" t="n">
        <v>45925</v>
      </c>
      <c r="D28" t="inlineStr">
        <is>
          <t>KALMAR LÄN</t>
        </is>
      </c>
      <c r="E28" t="inlineStr">
        <is>
          <t>MÖRBYLÅNGA</t>
        </is>
      </c>
      <c r="G28" t="n">
        <v>2.6</v>
      </c>
      <c r="H28" t="n">
        <v>0</v>
      </c>
      <c r="I28" t="n">
        <v>1</v>
      </c>
      <c r="J28" t="n">
        <v>0</v>
      </c>
      <c r="K28" t="n">
        <v>0</v>
      </c>
      <c r="L28" t="n">
        <v>0</v>
      </c>
      <c r="M28" t="n">
        <v>0</v>
      </c>
      <c r="N28" t="n">
        <v>0</v>
      </c>
      <c r="O28" t="n">
        <v>0</v>
      </c>
      <c r="P28" t="n">
        <v>0</v>
      </c>
      <c r="Q28" t="n">
        <v>1</v>
      </c>
      <c r="R28" s="2" t="inlineStr">
        <is>
          <t>Sårläka</t>
        </is>
      </c>
      <c r="S28">
        <f>HYPERLINK("https://klasma.github.io/Logging_0840/artfynd/A 43702-2025 artfynd.xlsx", "A 43702-2025")</f>
        <v/>
      </c>
      <c r="T28">
        <f>HYPERLINK("https://klasma.github.io/Logging_0840/kartor/A 43702-2025 karta.png", "A 43702-2025")</f>
        <v/>
      </c>
      <c r="V28">
        <f>HYPERLINK("https://klasma.github.io/Logging_0840/klagomål/A 43702-2025 FSC-klagomål.docx", "A 43702-2025")</f>
        <v/>
      </c>
      <c r="W28">
        <f>HYPERLINK("https://klasma.github.io/Logging_0840/klagomålsmail/A 43702-2025 FSC-klagomål mail.docx", "A 43702-2025")</f>
        <v/>
      </c>
      <c r="X28">
        <f>HYPERLINK("https://klasma.github.io/Logging_0840/tillsyn/A 43702-2025 tillsynsbegäran.docx", "A 43702-2025")</f>
        <v/>
      </c>
      <c r="Y28">
        <f>HYPERLINK("https://klasma.github.io/Logging_0840/tillsynsmail/A 43702-2025 tillsynsbegäran mail.docx", "A 43702-2025")</f>
        <v/>
      </c>
    </row>
    <row r="29" ht="15" customHeight="1">
      <c r="A29" t="inlineStr">
        <is>
          <t>A 24698-2023</t>
        </is>
      </c>
      <c r="B29" s="1" t="n">
        <v>45084</v>
      </c>
      <c r="C29" s="1" t="n">
        <v>45925</v>
      </c>
      <c r="D29" t="inlineStr">
        <is>
          <t>KALMAR LÄN</t>
        </is>
      </c>
      <c r="E29" t="inlineStr">
        <is>
          <t>MÖRBYLÅNGA</t>
        </is>
      </c>
      <c r="G29" t="n">
        <v>5.5</v>
      </c>
      <c r="H29" t="n">
        <v>0</v>
      </c>
      <c r="I29" t="n">
        <v>1</v>
      </c>
      <c r="J29" t="n">
        <v>0</v>
      </c>
      <c r="K29" t="n">
        <v>0</v>
      </c>
      <c r="L29" t="n">
        <v>0</v>
      </c>
      <c r="M29" t="n">
        <v>0</v>
      </c>
      <c r="N29" t="n">
        <v>0</v>
      </c>
      <c r="O29" t="n">
        <v>0</v>
      </c>
      <c r="P29" t="n">
        <v>0</v>
      </c>
      <c r="Q29" t="n">
        <v>1</v>
      </c>
      <c r="R29" s="2" t="inlineStr">
        <is>
          <t>Sårläka</t>
        </is>
      </c>
      <c r="S29">
        <f>HYPERLINK("https://klasma.github.io/Logging_0840/artfynd/A 24698-2023 artfynd.xlsx", "A 24698-2023")</f>
        <v/>
      </c>
      <c r="T29">
        <f>HYPERLINK("https://klasma.github.io/Logging_0840/kartor/A 24698-2023 karta.png", "A 24698-2023")</f>
        <v/>
      </c>
      <c r="V29">
        <f>HYPERLINK("https://klasma.github.io/Logging_0840/klagomål/A 24698-2023 FSC-klagomål.docx", "A 24698-2023")</f>
        <v/>
      </c>
      <c r="W29">
        <f>HYPERLINK("https://klasma.github.io/Logging_0840/klagomålsmail/A 24698-2023 FSC-klagomål mail.docx", "A 24698-2023")</f>
        <v/>
      </c>
      <c r="X29">
        <f>HYPERLINK("https://klasma.github.io/Logging_0840/tillsyn/A 24698-2023 tillsynsbegäran.docx", "A 24698-2023")</f>
        <v/>
      </c>
      <c r="Y29">
        <f>HYPERLINK("https://klasma.github.io/Logging_0840/tillsynsmail/A 24698-2023 tillsynsbegäran mail.docx", "A 24698-2023")</f>
        <v/>
      </c>
    </row>
    <row r="30" ht="15" customHeight="1">
      <c r="A30" t="inlineStr">
        <is>
          <t>A 26876-2022</t>
        </is>
      </c>
      <c r="B30" s="1" t="n">
        <v>44740</v>
      </c>
      <c r="C30" s="1" t="n">
        <v>45925</v>
      </c>
      <c r="D30" t="inlineStr">
        <is>
          <t>KALMAR LÄN</t>
        </is>
      </c>
      <c r="E30" t="inlineStr">
        <is>
          <t>MÖRBYLÅNGA</t>
        </is>
      </c>
      <c r="G30" t="n">
        <v>0.7</v>
      </c>
      <c r="H30" t="n">
        <v>0</v>
      </c>
      <c r="I30" t="n">
        <v>0</v>
      </c>
      <c r="J30" t="n">
        <v>0</v>
      </c>
      <c r="K30" t="n">
        <v>0</v>
      </c>
      <c r="L30" t="n">
        <v>0</v>
      </c>
      <c r="M30" t="n">
        <v>0</v>
      </c>
      <c r="N30" t="n">
        <v>0</v>
      </c>
      <c r="O30" t="n">
        <v>0</v>
      </c>
      <c r="P30" t="n">
        <v>0</v>
      </c>
      <c r="Q30" t="n">
        <v>0</v>
      </c>
      <c r="R30" s="2" t="inlineStr"/>
    </row>
    <row r="31" ht="15" customHeight="1">
      <c r="A31" t="inlineStr">
        <is>
          <t>A 61865-2020</t>
        </is>
      </c>
      <c r="B31" s="1" t="n">
        <v>44155</v>
      </c>
      <c r="C31" s="1" t="n">
        <v>45925</v>
      </c>
      <c r="D31" t="inlineStr">
        <is>
          <t>KALMAR LÄN</t>
        </is>
      </c>
      <c r="E31" t="inlineStr">
        <is>
          <t>MÖRBYLÅNGA</t>
        </is>
      </c>
      <c r="G31" t="n">
        <v>5</v>
      </c>
      <c r="H31" t="n">
        <v>0</v>
      </c>
      <c r="I31" t="n">
        <v>0</v>
      </c>
      <c r="J31" t="n">
        <v>0</v>
      </c>
      <c r="K31" t="n">
        <v>0</v>
      </c>
      <c r="L31" t="n">
        <v>0</v>
      </c>
      <c r="M31" t="n">
        <v>0</v>
      </c>
      <c r="N31" t="n">
        <v>0</v>
      </c>
      <c r="O31" t="n">
        <v>0</v>
      </c>
      <c r="P31" t="n">
        <v>0</v>
      </c>
      <c r="Q31" t="n">
        <v>0</v>
      </c>
      <c r="R31" s="2" t="inlineStr"/>
    </row>
    <row r="32" ht="15" customHeight="1">
      <c r="A32" t="inlineStr">
        <is>
          <t>A 13040-2024</t>
        </is>
      </c>
      <c r="B32" s="1" t="n">
        <v>45385</v>
      </c>
      <c r="C32" s="1" t="n">
        <v>45925</v>
      </c>
      <c r="D32" t="inlineStr">
        <is>
          <t>KALMAR LÄN</t>
        </is>
      </c>
      <c r="E32" t="inlineStr">
        <is>
          <t>MÖRBYLÅNGA</t>
        </is>
      </c>
      <c r="G32" t="n">
        <v>1.2</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45925</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43704-2025</t>
        </is>
      </c>
      <c r="B34" s="1" t="n">
        <v>45912.40490740741</v>
      </c>
      <c r="C34" s="1" t="n">
        <v>45925</v>
      </c>
      <c r="D34" t="inlineStr">
        <is>
          <t>KALMAR LÄN</t>
        </is>
      </c>
      <c r="E34" t="inlineStr">
        <is>
          <t>MÖRBYLÅNGA</t>
        </is>
      </c>
      <c r="G34" t="n">
        <v>2.7</v>
      </c>
      <c r="H34" t="n">
        <v>0</v>
      </c>
      <c r="I34" t="n">
        <v>0</v>
      </c>
      <c r="J34" t="n">
        <v>0</v>
      </c>
      <c r="K34" t="n">
        <v>0</v>
      </c>
      <c r="L34" t="n">
        <v>0</v>
      </c>
      <c r="M34" t="n">
        <v>0</v>
      </c>
      <c r="N34" t="n">
        <v>0</v>
      </c>
      <c r="O34" t="n">
        <v>0</v>
      </c>
      <c r="P34" t="n">
        <v>0</v>
      </c>
      <c r="Q34" t="n">
        <v>0</v>
      </c>
      <c r="R34" s="2" t="inlineStr"/>
    </row>
    <row r="35" ht="15" customHeight="1">
      <c r="A35" t="inlineStr">
        <is>
          <t>A 63676-2023</t>
        </is>
      </c>
      <c r="B35" s="1" t="n">
        <v>45275.64739583333</v>
      </c>
      <c r="C35" s="1" t="n">
        <v>45925</v>
      </c>
      <c r="D35" t="inlineStr">
        <is>
          <t>KALMAR LÄN</t>
        </is>
      </c>
      <c r="E35" t="inlineStr">
        <is>
          <t>MÖRBYLÅNGA</t>
        </is>
      </c>
      <c r="G35" t="n">
        <v>1</v>
      </c>
      <c r="H35" t="n">
        <v>0</v>
      </c>
      <c r="I35" t="n">
        <v>0</v>
      </c>
      <c r="J35" t="n">
        <v>0</v>
      </c>
      <c r="K35" t="n">
        <v>0</v>
      </c>
      <c r="L35" t="n">
        <v>0</v>
      </c>
      <c r="M35" t="n">
        <v>0</v>
      </c>
      <c r="N35" t="n">
        <v>0</v>
      </c>
      <c r="O35" t="n">
        <v>0</v>
      </c>
      <c r="P35" t="n">
        <v>0</v>
      </c>
      <c r="Q35" t="n">
        <v>0</v>
      </c>
      <c r="R35" s="2" t="inlineStr"/>
    </row>
    <row r="36">
      <c r="A36" t="inlineStr">
        <is>
          <t>A 72167-2021</t>
        </is>
      </c>
      <c r="B36" s="1" t="n">
        <v>44544</v>
      </c>
      <c r="C36" s="1" t="n">
        <v>45925</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2025-09-25T10:39:45Z</dcterms:created>
  <dcterms:modified xmlns:dcterms="http://purl.org/dc/terms/" xmlns:xsi="http://www.w3.org/2001/XMLSchema-instance" xsi:type="dcterms:W3CDTF">2025-09-25T10:39:45Z</dcterms:modified>
</cp:coreProperties>
</file>