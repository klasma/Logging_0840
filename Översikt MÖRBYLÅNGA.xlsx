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46263</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46263</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46263</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46263</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46263</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46263</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46263</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46263</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46263</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46263</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46263</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46263</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46263</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46263</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38039-2022</t>
        </is>
      </c>
      <c r="B16" t="inlineStr">
        <is>
          <t>avverkningsanmälan</t>
        </is>
      </c>
      <c r="C16" t="inlineStr">
        <is>
          <t>Avverkning för annat ändamål</t>
        </is>
      </c>
      <c r="D16" s="1" t="n">
        <v>44811</v>
      </c>
      <c r="E16" s="1" t="n">
        <v>46263</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12</v>
      </c>
      <c r="V16" s="2" t="inlineStr">
        <is>
          <t>Ask
Grov gulmossa
Backtimjan
Dvärgjordstjärna
Solvända
Ängsstarr
Murgröna
Alvarmalört
Grönvit nattviol
Krutbrännare
Gullviva</t>
        </is>
      </c>
      <c r="W16">
        <f>HYPERLINK("https://klasma.github.io/Logging_0840/artfynd/A 38039-2022 artfynd.xlsx", "A 38039-2022")</f>
        <v/>
      </c>
      <c r="X16">
        <f>HYPERLINK("https://klasma.github.io/Logging_0840/kartor/A 38039-2022 karta.png", "A 38039-2022")</f>
        <v/>
      </c>
      <c r="Y16">
        <f>HYPERLINK("https://klasma.github.io/Logging_0840/kartor_geotiff/A 38039-2022 georefererad karta.tif", "A 38039-2022")</f>
        <v/>
      </c>
      <c r="AA16">
        <f>HYPERLINK("https://klasma.github.io/Logging_0840/klagomål/A 38039-2022 FSC-klagomål.docx", "A 38039-2022")</f>
        <v/>
      </c>
      <c r="AB16">
        <f>HYPERLINK("https://klasma.github.io/Logging_0840/klagomålsmail/A 38039-2022 FSC-klagomål mail.docx", "A 38039-2022")</f>
        <v/>
      </c>
      <c r="AC16">
        <f>HYPERLINK("https://klasma.github.io/Logging_0840/tillsyn/A 38039-2022 tillsynsbegäran.docx", "A 38039-2022")</f>
        <v/>
      </c>
      <c r="AD16">
        <f>HYPERLINK("https://klasma.github.io/Logging_0840/tillsynsmail/A 38039-2022 tillsynsbegäran mail.docx", "A 38039-2022")</f>
        <v/>
      </c>
    </row>
    <row r="17" ht="15" customHeight="1">
      <c r="A17" t="inlineStr">
        <is>
          <t>A 27636-2023</t>
        </is>
      </c>
      <c r="B17" t="inlineStr">
        <is>
          <t>avverkningsanmälan</t>
        </is>
      </c>
      <c r="C17" t="inlineStr">
        <is>
          <t>Avverkning för annat ändamål</t>
        </is>
      </c>
      <c r="D17" s="1" t="n">
        <v>45097</v>
      </c>
      <c r="E17" s="1" t="n">
        <v>46263</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11</v>
      </c>
      <c r="V17" s="2" t="inlineStr">
        <is>
          <t>Ask
Grov gulmossa
Backtimjan
Dvärgjordstjärna
Solvända
Ängsstarr
Murgröna
Alvarmalört
Grönvit nattviol
Krutbrännare
Gullviva</t>
        </is>
      </c>
      <c r="W17">
        <f>HYPERLINK("https://klasma.github.io/Logging_0840/artfynd/A 27636-2023 artfynd.xlsx", "A 27636-2023")</f>
        <v/>
      </c>
      <c r="X17">
        <f>HYPERLINK("https://klasma.github.io/Logging_0840/kartor/A 27636-2023 karta.png", "A 27636-2023")</f>
        <v/>
      </c>
      <c r="Y17">
        <f>HYPERLINK("https://klasma.github.io/Logging_0840/kartor_geotiff/A 27636-2023 georefererad karta.tif", "A 27636-2023")</f>
        <v/>
      </c>
      <c r="AA17">
        <f>HYPERLINK("https://klasma.github.io/Logging_0840/klagomål/A 27636-2023 FSC-klagomål.docx", "A 27636-2023")</f>
        <v/>
      </c>
      <c r="AB17">
        <f>HYPERLINK("https://klasma.github.io/Logging_0840/klagomålsmail/A 27636-2023 FSC-klagomål mail.docx", "A 27636-2023")</f>
        <v/>
      </c>
      <c r="AC17">
        <f>HYPERLINK("https://klasma.github.io/Logging_0840/tillsyn/A 27636-2023 tillsynsbegäran.docx", "A 27636-2023")</f>
        <v/>
      </c>
      <c r="AD17">
        <f>HYPERLINK("https://klasma.github.io/Logging_0840/tillsynsmail/A 27636-2023 tillsynsbegäran mail.docx", "A 27636-2023")</f>
        <v/>
      </c>
    </row>
    <row r="18" ht="15" customHeight="1">
      <c r="A18" t="inlineStr">
        <is>
          <t>A 24778-2022</t>
        </is>
      </c>
      <c r="B18" t="inlineStr">
        <is>
          <t>avverkningsanmälan</t>
        </is>
      </c>
      <c r="C18" t="inlineStr">
        <is>
          <t>Föryngringsavverkning</t>
        </is>
      </c>
      <c r="D18" s="1" t="n">
        <v>44728</v>
      </c>
      <c r="E18" s="1" t="n">
        <v>46263</v>
      </c>
      <c r="F18" t="inlineStr">
        <is>
          <t>KALMAR LÄN</t>
        </is>
      </c>
      <c r="G18" t="inlineStr">
        <is>
          <t>MÖRBYLÅNGA</t>
        </is>
      </c>
      <c r="I18" t="n">
        <v>1</v>
      </c>
      <c r="J18" t="n">
        <v>1</v>
      </c>
      <c r="K18" t="n">
        <v>2</v>
      </c>
      <c r="L18" t="n">
        <v>7</v>
      </c>
      <c r="M18" t="n">
        <v>0</v>
      </c>
      <c r="N18" t="n">
        <v>1</v>
      </c>
      <c r="O18" t="n">
        <v>0</v>
      </c>
      <c r="P18" t="n">
        <v>0</v>
      </c>
      <c r="Q18" t="n">
        <v>8</v>
      </c>
      <c r="R18" t="n">
        <v>1</v>
      </c>
      <c r="S18" t="n">
        <v>11</v>
      </c>
      <c r="T18" t="n">
        <v>20</v>
      </c>
      <c r="U18" t="n">
        <v>20</v>
      </c>
      <c r="V18" s="2" t="inlineStr">
        <is>
          <t>Tofsäxing
Backtimjan
Flentimotej
Grådådra
Poppeltofsskivling
Slåtterfibbla
Sminkrot
Solvända
Kalktallört
Murgröna
Blåsippa</t>
        </is>
      </c>
      <c r="W18">
        <f>HYPERLINK("https://klasma.github.io/Logging_0840/artfynd/A 24778-2022 artfynd.xlsx", "A 24778-2022")</f>
        <v/>
      </c>
      <c r="X18">
        <f>HYPERLINK("https://klasma.github.io/Logging_0840/kartor/A 24778-2022 karta.png", "A 24778-2022")</f>
        <v/>
      </c>
      <c r="Y18">
        <f>HYPERLINK("https://klasma.github.io/Logging_0840/kartor_geotiff/A 24778-2022 georefererad karta.tif", "A 24778-2022")</f>
        <v/>
      </c>
      <c r="AA18">
        <f>HYPERLINK("https://klasma.github.io/Logging_0840/klagomål/A 24778-2022 FSC-klagomål.docx", "A 24778-2022")</f>
        <v/>
      </c>
      <c r="AB18">
        <f>HYPERLINK("https://klasma.github.io/Logging_0840/klagomålsmail/A 24778-2022 FSC-klagomål mail.docx", "A 24778-2022")</f>
        <v/>
      </c>
      <c r="AC18">
        <f>HYPERLINK("https://klasma.github.io/Logging_0840/tillsyn/A 24778-2022 tillsynsbegäran.docx", "A 24778-2022")</f>
        <v/>
      </c>
      <c r="AD18">
        <f>HYPERLINK("https://klasma.github.io/Logging_0840/tillsynsmail/A 24778-2022 tillsynsbegäran mail.docx", "A 24778-2022")</f>
        <v/>
      </c>
    </row>
    <row r="19" ht="15" customHeight="1">
      <c r="A19" t="inlineStr">
        <is>
          <t>A 39320-2024</t>
        </is>
      </c>
      <c r="B19" t="inlineStr">
        <is>
          <t>avverkningsanmälan</t>
        </is>
      </c>
      <c r="C19" t="inlineStr">
        <is>
          <t>Avverkning för annat ändamål</t>
        </is>
      </c>
      <c r="D19" s="1" t="n">
        <v>45551</v>
      </c>
      <c r="E19" s="1" t="n">
        <v>46263</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46263</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46263</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46263</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46263</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46263</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46263</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43714-2025</t>
        </is>
      </c>
      <c r="B26" t="inlineStr">
        <is>
          <t>avverkningsanmälan</t>
        </is>
      </c>
      <c r="C26" t="inlineStr">
        <is>
          <t>Föryngringsavverkning</t>
        </is>
      </c>
      <c r="D26" s="1" t="n">
        <v>45912</v>
      </c>
      <c r="E26" s="1" t="n">
        <v>46263</v>
      </c>
      <c r="F26" t="inlineStr">
        <is>
          <t>KALMAR LÄN</t>
        </is>
      </c>
      <c r="G26" t="inlineStr">
        <is>
          <t>MÖRBYLÅNGA</t>
        </is>
      </c>
      <c r="I26" t="n">
        <v>7.9</v>
      </c>
      <c r="J26" t="n">
        <v>1</v>
      </c>
      <c r="K26" t="n">
        <v>3</v>
      </c>
      <c r="L26" t="n">
        <v>1</v>
      </c>
      <c r="M26" t="n">
        <v>2</v>
      </c>
      <c r="N26" t="n">
        <v>0</v>
      </c>
      <c r="O26" t="n">
        <v>0</v>
      </c>
      <c r="P26" t="n">
        <v>0</v>
      </c>
      <c r="Q26" t="n">
        <v>3</v>
      </c>
      <c r="R26" t="n">
        <v>2</v>
      </c>
      <c r="S26" t="n">
        <v>6</v>
      </c>
      <c r="T26" t="n">
        <v>8</v>
      </c>
      <c r="U26" t="n">
        <v>2</v>
      </c>
      <c r="V26" s="2" t="inlineStr">
        <is>
          <t>Mindre bastardsvärmare
Sexfläckig bastardsvärmare
Grönsångare
Murgröna
Tibast
Trädporella</t>
        </is>
      </c>
      <c r="W26">
        <f>HYPERLINK("https://klasma.github.io/Logging_0840/artfynd/A 43714-2025 artfynd.xlsx", "A 43714-2025")</f>
        <v/>
      </c>
      <c r="X26">
        <f>HYPERLINK("https://klasma.github.io/Logging_0840/kartor/A 43714-2025 karta.png", "A 43714-2025")</f>
        <v/>
      </c>
      <c r="Y26">
        <f>HYPERLINK("https://klasma.github.io/Logging_0840/kartor_geotiff/A 43714-2025 georefererad karta.tif", "A 43714-2025")</f>
        <v/>
      </c>
      <c r="AA26">
        <f>HYPERLINK("https://klasma.github.io/Logging_0840/klagomål/A 43714-2025 FSC-klagomål.docx", "A 43714-2025")</f>
        <v/>
      </c>
      <c r="AB26">
        <f>HYPERLINK("https://klasma.github.io/Logging_0840/klagomålsmail/A 43714-2025 FSC-klagomål mail.docx", "A 43714-2025")</f>
        <v/>
      </c>
      <c r="AC26">
        <f>HYPERLINK("https://klasma.github.io/Logging_0840/tillsyn/A 43714-2025 tillsynsbegäran.docx", "A 43714-2025")</f>
        <v/>
      </c>
      <c r="AD26">
        <f>HYPERLINK("https://klasma.github.io/Logging_0840/tillsynsmail/A 43714-2025 tillsynsbegäran mail.docx", "A 43714-2025")</f>
        <v/>
      </c>
      <c r="AE26">
        <f>HYPERLINK("https://klasma.github.io/Logging_0840/fåglar/A 43714-2025 prioriterade fågelarter.docx", "A 43714-2025")</f>
        <v/>
      </c>
    </row>
    <row r="27" ht="15" customHeight="1">
      <c r="A27" t="inlineStr">
        <is>
          <t>A 43704-2025</t>
        </is>
      </c>
      <c r="B27" t="inlineStr">
        <is>
          <t>avverkningsanmälan</t>
        </is>
      </c>
      <c r="C27" t="inlineStr">
        <is>
          <t>Föryngringsavverkning</t>
        </is>
      </c>
      <c r="D27" s="1" t="n">
        <v>45912</v>
      </c>
      <c r="E27" s="1" t="n">
        <v>46263</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S 1814-2026</t>
        </is>
      </c>
      <c r="B28" t="inlineStr">
        <is>
          <t>samrådsanmälan</t>
        </is>
      </c>
      <c r="C28" t="inlineStr">
        <is>
          <t>Annan skogsbruksåtgärd</t>
        </is>
      </c>
      <c r="D28" s="1" t="n">
        <v>46190</v>
      </c>
      <c r="E28" s="1" t="n">
        <v>46263</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46263</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46263</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46263</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46263</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46263</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46263</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46263</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46263</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46263</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54192-2021</t>
        </is>
      </c>
      <c r="B38" t="inlineStr">
        <is>
          <t>avverkningsanmälan</t>
        </is>
      </c>
      <c r="C38" t="inlineStr">
        <is>
          <t>Föryngringsavverkning</t>
        </is>
      </c>
      <c r="D38" s="1" t="n">
        <v>44470</v>
      </c>
      <c r="E38" s="1" t="n">
        <v>46263</v>
      </c>
      <c r="F38" t="inlineStr">
        <is>
          <t>KALMAR LÄN</t>
        </is>
      </c>
      <c r="G38" t="inlineStr">
        <is>
          <t>MÖRBYLÅNGA</t>
        </is>
      </c>
      <c r="I38" t="n">
        <v>1.5</v>
      </c>
      <c r="J38" t="n">
        <v>1</v>
      </c>
      <c r="K38" t="n">
        <v>0</v>
      </c>
      <c r="L38" t="n">
        <v>2</v>
      </c>
      <c r="M38" t="n">
        <v>0</v>
      </c>
      <c r="N38" t="n">
        <v>0</v>
      </c>
      <c r="O38" t="n">
        <v>0</v>
      </c>
      <c r="P38" t="n">
        <v>0</v>
      </c>
      <c r="Q38" t="n">
        <v>2</v>
      </c>
      <c r="R38" t="n">
        <v>0</v>
      </c>
      <c r="S38" t="n">
        <v>2</v>
      </c>
      <c r="T38" t="n">
        <v>2</v>
      </c>
      <c r="U38" t="n">
        <v>2</v>
      </c>
      <c r="V38" s="2" t="inlineStr">
        <is>
          <t>Ladusvala
Sminkrot</t>
        </is>
      </c>
      <c r="W38">
        <f>HYPERLINK("https://klasma.github.io/Logging_0840/artfynd/A 54192-2021 artfynd.xlsx", "A 54192-2021")</f>
        <v/>
      </c>
      <c r="X38">
        <f>HYPERLINK("https://klasma.github.io/Logging_0840/kartor/A 54192-2021 karta.png", "A 54192-2021")</f>
        <v/>
      </c>
      <c r="Y38">
        <f>HYPERLINK("https://klasma.github.io/Logging_0840/kartor_geotiff/A 54192-2021 georefererad karta.tif", "A 54192-2021")</f>
        <v/>
      </c>
      <c r="AA38">
        <f>HYPERLINK("https://klasma.github.io/Logging_0840/klagomål/A 54192-2021 FSC-klagomål.docx", "A 54192-2021")</f>
        <v/>
      </c>
      <c r="AB38">
        <f>HYPERLINK("https://klasma.github.io/Logging_0840/klagomålsmail/A 54192-2021 FSC-klagomål mail.docx", "A 54192-2021")</f>
        <v/>
      </c>
      <c r="AC38">
        <f>HYPERLINK("https://klasma.github.io/Logging_0840/tillsyn/A 54192-2021 tillsynsbegäran.docx", "A 54192-2021")</f>
        <v/>
      </c>
      <c r="AD38">
        <f>HYPERLINK("https://klasma.github.io/Logging_0840/tillsynsmail/A 54192-2021 tillsynsbegäran mail.docx", "A 54192-2021")</f>
        <v/>
      </c>
    </row>
    <row r="39" ht="15" customHeight="1">
      <c r="A39" t="inlineStr">
        <is>
          <t>A 72167-2021</t>
        </is>
      </c>
      <c r="B39" t="inlineStr">
        <is>
          <t>avverkningsanmälan</t>
        </is>
      </c>
      <c r="C39" t="inlineStr">
        <is>
          <t>Föryngringsavverkning</t>
        </is>
      </c>
      <c r="D39" s="1" t="n">
        <v>44544</v>
      </c>
      <c r="E39" s="1" t="n">
        <v>46263</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A 62231-2023</t>
        </is>
      </c>
      <c r="B40" t="inlineStr">
        <is>
          <t>avverkningsanmälan</t>
        </is>
      </c>
      <c r="C40" t="inlineStr">
        <is>
          <t>Avverkning för annat ändamål</t>
        </is>
      </c>
      <c r="D40" s="1" t="n">
        <v>45267</v>
      </c>
      <c r="E40" s="1" t="n">
        <v>46263</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29360-2026</t>
        </is>
      </c>
      <c r="B41" t="inlineStr">
        <is>
          <t>avverkningsanmälan</t>
        </is>
      </c>
      <c r="C41" t="inlineStr">
        <is>
          <t>Avverkning för annat ändamål</t>
        </is>
      </c>
      <c r="D41" s="1" t="n">
        <v>46203</v>
      </c>
      <c r="E41" s="1" t="n">
        <v>46263</v>
      </c>
      <c r="F41" t="inlineStr">
        <is>
          <t>KALMAR LÄN</t>
        </is>
      </c>
      <c r="G41" t="inlineStr">
        <is>
          <t>MÖRBYLÅNGA</t>
        </is>
      </c>
      <c r="I41" t="n">
        <v>2.9</v>
      </c>
      <c r="J41" t="n">
        <v>0</v>
      </c>
      <c r="K41" t="n">
        <v>0</v>
      </c>
      <c r="L41" t="n">
        <v>1</v>
      </c>
      <c r="M41" t="n">
        <v>1</v>
      </c>
      <c r="N41" t="n">
        <v>0</v>
      </c>
      <c r="O41" t="n">
        <v>0</v>
      </c>
      <c r="P41" t="n">
        <v>0</v>
      </c>
      <c r="Q41" t="n">
        <v>2</v>
      </c>
      <c r="R41" t="n">
        <v>1</v>
      </c>
      <c r="S41" t="n">
        <v>2</v>
      </c>
      <c r="T41" t="n">
        <v>2</v>
      </c>
      <c r="U41" t="n">
        <v>0</v>
      </c>
      <c r="V41" s="2" t="inlineStr">
        <is>
          <t>Mindre blåvinge
Silversmygare</t>
        </is>
      </c>
      <c r="W41">
        <f>HYPERLINK("https://klasma.github.io/Logging_0840/artfynd/A 29360-2026 artfynd.xlsx", "A 29360-2026")</f>
        <v/>
      </c>
      <c r="X41">
        <f>HYPERLINK("https://klasma.github.io/Logging_0840/kartor/A 29360-2026 karta.png", "A 29360-2026")</f>
        <v/>
      </c>
      <c r="Y41">
        <f>HYPERLINK("https://klasma.github.io/Logging_0840/kartor_geotiff/A 29360-2026 georefererad karta.tif", "A 29360-2026")</f>
        <v/>
      </c>
      <c r="AA41">
        <f>HYPERLINK("https://klasma.github.io/Logging_0840/klagomål/A 29360-2026 FSC-klagomål.docx", "A 29360-2026")</f>
        <v/>
      </c>
      <c r="AB41">
        <f>HYPERLINK("https://klasma.github.io/Logging_0840/klagomålsmail/A 29360-2026 FSC-klagomål mail.docx", "A 29360-2026")</f>
        <v/>
      </c>
      <c r="AC41">
        <f>HYPERLINK("https://klasma.github.io/Logging_0840/tillsyn/A 29360-2026 tillsynsbegäran.docx", "A 29360-2026")</f>
        <v/>
      </c>
      <c r="AD41">
        <f>HYPERLINK("https://klasma.github.io/Logging_0840/tillsynsmail/A 29360-2026 tillsynsbegäran mail.docx", "A 29360-2026")</f>
        <v/>
      </c>
    </row>
    <row r="42" ht="15" customHeight="1">
      <c r="A42" t="inlineStr">
        <is>
          <t>S 2138-2026</t>
        </is>
      </c>
      <c r="B42" t="inlineStr">
        <is>
          <t>samrådsanmälan</t>
        </is>
      </c>
      <c r="C42" t="inlineStr">
        <is>
          <t>Annan skogsbruksåtgärd</t>
        </is>
      </c>
      <c r="D42" s="1" t="n">
        <v>46246</v>
      </c>
      <c r="E42" s="1" t="n">
        <v>46263</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13040-2024</t>
        </is>
      </c>
      <c r="B43" t="inlineStr">
        <is>
          <t>avverkningsanmälan</t>
        </is>
      </c>
      <c r="C43" t="inlineStr">
        <is>
          <t>Avverkning för annat ändamål</t>
        </is>
      </c>
      <c r="D43" s="1" t="n">
        <v>45385</v>
      </c>
      <c r="E43" s="1" t="n">
        <v>46263</v>
      </c>
      <c r="F43" t="inlineStr">
        <is>
          <t>KALMAR LÄN</t>
        </is>
      </c>
      <c r="G43" t="inlineStr">
        <is>
          <t>MÖRBYLÅNGA</t>
        </is>
      </c>
      <c r="I43" t="n">
        <v>1.2</v>
      </c>
      <c r="J43" t="n">
        <v>0</v>
      </c>
      <c r="K43" t="n">
        <v>0</v>
      </c>
      <c r="L43" t="n">
        <v>0</v>
      </c>
      <c r="M43" t="n">
        <v>0</v>
      </c>
      <c r="N43" t="n">
        <v>1</v>
      </c>
      <c r="O43" t="n">
        <v>0</v>
      </c>
      <c r="P43" t="n">
        <v>0</v>
      </c>
      <c r="Q43" t="n">
        <v>1</v>
      </c>
      <c r="R43" t="n">
        <v>1</v>
      </c>
      <c r="S43" t="n">
        <v>1</v>
      </c>
      <c r="T43" t="n">
        <v>1</v>
      </c>
      <c r="U43" t="n">
        <v>1</v>
      </c>
      <c r="V43" s="2" t="inlineStr">
        <is>
          <t>Skogsalm</t>
        </is>
      </c>
      <c r="W43">
        <f>HYPERLINK("https://klasma.github.io/Logging_0840/artfynd/A 13040-2024 artfynd.xlsx", "A 13040-2024")</f>
        <v/>
      </c>
      <c r="X43">
        <f>HYPERLINK("https://klasma.github.io/Logging_0840/kartor/A 13040-2024 karta.png", "A 13040-2024")</f>
        <v/>
      </c>
      <c r="Y43">
        <f>HYPERLINK("https://klasma.github.io/Logging_0840/kartor_geotiff/A 13040-2024 georefererad karta.tif", "A 13040-2024")</f>
        <v/>
      </c>
      <c r="AA43">
        <f>HYPERLINK("https://klasma.github.io/Logging_0840/klagomål/A 13040-2024 FSC-klagomål.docx", "A 13040-2024")</f>
        <v/>
      </c>
      <c r="AB43">
        <f>HYPERLINK("https://klasma.github.io/Logging_0840/klagomålsmail/A 13040-2024 FSC-klagomål mail.docx", "A 13040-2024")</f>
        <v/>
      </c>
      <c r="AC43">
        <f>HYPERLINK("https://klasma.github.io/Logging_0840/tillsyn/A 13040-2024 tillsynsbegäran.docx", "A 13040-2024")</f>
        <v/>
      </c>
      <c r="AD43">
        <f>HYPERLINK("https://klasma.github.io/Logging_0840/tillsynsmail/A 13040-2024 tillsynsbegäran mail.docx", "A 13040-2024")</f>
        <v/>
      </c>
    </row>
    <row r="44" ht="15" customHeight="1">
      <c r="A44" t="inlineStr">
        <is>
          <t>A 13384-2023</t>
        </is>
      </c>
      <c r="B44" t="inlineStr">
        <is>
          <t>avverkningsanmälan</t>
        </is>
      </c>
      <c r="C44" t="inlineStr">
        <is>
          <t>Föryngringsavverkning</t>
        </is>
      </c>
      <c r="D44" s="1" t="n">
        <v>45005</v>
      </c>
      <c r="E44" s="1" t="n">
        <v>46263</v>
      </c>
      <c r="F44" t="inlineStr">
        <is>
          <t>KALMAR LÄN</t>
        </is>
      </c>
      <c r="G44" t="inlineStr">
        <is>
          <t>MÖRBYLÅNGA</t>
        </is>
      </c>
      <c r="I44" t="n">
        <v>0.9</v>
      </c>
      <c r="J44" t="n">
        <v>1</v>
      </c>
      <c r="K44" t="n">
        <v>0</v>
      </c>
      <c r="L44" t="n">
        <v>0</v>
      </c>
      <c r="M44" t="n">
        <v>0</v>
      </c>
      <c r="N44" t="n">
        <v>0</v>
      </c>
      <c r="O44" t="n">
        <v>0</v>
      </c>
      <c r="P44" t="n">
        <v>0</v>
      </c>
      <c r="Q44" t="n">
        <v>0</v>
      </c>
      <c r="R44" t="n">
        <v>0</v>
      </c>
      <c r="S44" t="n">
        <v>1</v>
      </c>
      <c r="T44" t="n">
        <v>1</v>
      </c>
      <c r="U44" t="n">
        <v>1</v>
      </c>
      <c r="V44" s="2" t="inlineStr">
        <is>
          <t>Blåsippa</t>
        </is>
      </c>
      <c r="W44">
        <f>HYPERLINK("https://klasma.github.io/Logging_0840/artfynd/A 13384-2023 artfynd.xlsx", "A 13384-2023")</f>
        <v/>
      </c>
      <c r="X44">
        <f>HYPERLINK("https://klasma.github.io/Logging_0840/kartor/A 13384-2023 karta.png", "A 13384-2023")</f>
        <v/>
      </c>
      <c r="Y44">
        <f>HYPERLINK("https://klasma.github.io/Logging_0840/kartor_geotiff/A 13384-2023 georefererad karta.tif", "A 13384-2023")</f>
        <v/>
      </c>
      <c r="AA44">
        <f>HYPERLINK("https://klasma.github.io/Logging_0840/klagomål/A 13384-2023 FSC-klagomål.docx", "A 13384-2023")</f>
        <v/>
      </c>
      <c r="AB44">
        <f>HYPERLINK("https://klasma.github.io/Logging_0840/klagomålsmail/A 13384-2023 FSC-klagomål mail.docx", "A 13384-2023")</f>
        <v/>
      </c>
      <c r="AC44">
        <f>HYPERLINK("https://klasma.github.io/Logging_0840/tillsyn/A 13384-2023 tillsynsbegäran.docx", "A 13384-2023")</f>
        <v/>
      </c>
      <c r="AD44">
        <f>HYPERLINK("https://klasma.github.io/Logging_0840/tillsynsmail/A 13384-2023 tillsynsbegäran mail.docx", "A 13384-2023")</f>
        <v/>
      </c>
    </row>
    <row r="45" ht="15" customHeight="1">
      <c r="A45" t="inlineStr">
        <is>
          <t>A 24698-2023</t>
        </is>
      </c>
      <c r="B45" t="inlineStr">
        <is>
          <t>avverkningsanmälan</t>
        </is>
      </c>
      <c r="C45" t="inlineStr">
        <is>
          <t>Föryngringsavverkning</t>
        </is>
      </c>
      <c r="D45" s="1" t="n">
        <v>45084</v>
      </c>
      <c r="E45" s="1" t="n">
        <v>46263</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62183-2025</t>
        </is>
      </c>
      <c r="B46" t="inlineStr">
        <is>
          <t>avverkningsanmälan</t>
        </is>
      </c>
      <c r="C46" t="inlineStr">
        <is>
          <t>Föryngringsavverkning</t>
        </is>
      </c>
      <c r="D46" s="1" t="n">
        <v>46006</v>
      </c>
      <c r="E46" s="1" t="n">
        <v>46263</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30492-2026</t>
        </is>
      </c>
      <c r="B47" t="inlineStr">
        <is>
          <t>avverkningsanmälan</t>
        </is>
      </c>
      <c r="C47" t="inlineStr">
        <is>
          <t>Avverkning för annat ändamål</t>
        </is>
      </c>
      <c r="D47" s="1" t="n">
        <v>46210</v>
      </c>
      <c r="E47" s="1" t="n">
        <v>46263</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46263</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46263</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46263</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2026-08-29T01:55:17Z</dcterms:created>
  <dcterms:modified xmlns:dcterms="http://purl.org/dc/terms/" xmlns:xsi="http://www.w3.org/2001/XMLSchema-instance" xsi:type="dcterms:W3CDTF">2026-08-29T01:55:17Z</dcterms:modified>
</cp:coreProperties>
</file>