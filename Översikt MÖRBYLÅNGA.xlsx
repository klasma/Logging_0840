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45349</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45349</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45349</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45349</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45349</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45349</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45349</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45349</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45349</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45349</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45349</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45349</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45349</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45349</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45349</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45349</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45349</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45349</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45349</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46845-2018</t>
        </is>
      </c>
      <c r="B25" s="1" t="n">
        <v>43367</v>
      </c>
      <c r="C25" s="1" t="n">
        <v>45349</v>
      </c>
      <c r="D25" t="inlineStr">
        <is>
          <t>KALMAR LÄN</t>
        </is>
      </c>
      <c r="E25" t="inlineStr">
        <is>
          <t>MÖRBYLÅNGA</t>
        </is>
      </c>
      <c r="F25" t="inlineStr">
        <is>
          <t>Kyrkan</t>
        </is>
      </c>
      <c r="G25" t="n">
        <v>2.2</v>
      </c>
      <c r="H25" t="n">
        <v>0</v>
      </c>
      <c r="I25" t="n">
        <v>0</v>
      </c>
      <c r="J25" t="n">
        <v>0</v>
      </c>
      <c r="K25" t="n">
        <v>0</v>
      </c>
      <c r="L25" t="n">
        <v>0</v>
      </c>
      <c r="M25" t="n">
        <v>1</v>
      </c>
      <c r="N25" t="n">
        <v>0</v>
      </c>
      <c r="O25" t="n">
        <v>1</v>
      </c>
      <c r="P25" t="n">
        <v>1</v>
      </c>
      <c r="Q25" t="n">
        <v>1</v>
      </c>
      <c r="R25" s="2" t="inlineStr">
        <is>
          <t>Skogsalm</t>
        </is>
      </c>
      <c r="S25">
        <f>HYPERLINK("https://klasma.github.io/Logging_0840/artfynd/A 46845-2018 artfynd.xlsx", "A 46845-2018")</f>
        <v/>
      </c>
      <c r="T25">
        <f>HYPERLINK("https://klasma.github.io/Logging_0840/kartor/A 46845-2018 karta.png", "A 46845-2018")</f>
        <v/>
      </c>
      <c r="V25">
        <f>HYPERLINK("https://klasma.github.io/Logging_0840/klagomål/A 46845-2018 FSC-klagomål.docx", "A 46845-2018")</f>
        <v/>
      </c>
      <c r="W25">
        <f>HYPERLINK("https://klasma.github.io/Logging_0840/klagomålsmail/A 46845-2018 FSC-klagomål mail.docx", "A 46845-2018")</f>
        <v/>
      </c>
      <c r="X25">
        <f>HYPERLINK("https://klasma.github.io/Logging_0840/tillsyn/A 46845-2018 tillsynsbegäran.docx", "A 46845-2018")</f>
        <v/>
      </c>
      <c r="Y25">
        <f>HYPERLINK("https://klasma.github.io/Logging_0840/tillsynsmail/A 46845-2018 tillsynsbegäran mail.docx", "A 46845-2018")</f>
        <v/>
      </c>
    </row>
    <row r="26" ht="15" customHeight="1">
      <c r="A26" t="inlineStr">
        <is>
          <t>A 69586-2018</t>
        </is>
      </c>
      <c r="B26" s="1" t="n">
        <v>43446</v>
      </c>
      <c r="C26" s="1" t="n">
        <v>45349</v>
      </c>
      <c r="D26" t="inlineStr">
        <is>
          <t>KALMAR LÄN</t>
        </is>
      </c>
      <c r="E26" t="inlineStr">
        <is>
          <t>MÖRBYLÅNGA</t>
        </is>
      </c>
      <c r="G26" t="n">
        <v>2.5</v>
      </c>
      <c r="H26" t="n">
        <v>0</v>
      </c>
      <c r="I26" t="n">
        <v>0</v>
      </c>
      <c r="J26" t="n">
        <v>0</v>
      </c>
      <c r="K26" t="n">
        <v>1</v>
      </c>
      <c r="L26" t="n">
        <v>0</v>
      </c>
      <c r="M26" t="n">
        <v>0</v>
      </c>
      <c r="N26" t="n">
        <v>0</v>
      </c>
      <c r="O26" t="n">
        <v>1</v>
      </c>
      <c r="P26" t="n">
        <v>1</v>
      </c>
      <c r="Q26" t="n">
        <v>1</v>
      </c>
      <c r="R26" s="2" t="inlineStr">
        <is>
          <t>Backsilja</t>
        </is>
      </c>
      <c r="S26">
        <f>HYPERLINK("https://klasma.github.io/Logging_0840/artfynd/A 69586-2018 artfynd.xlsx", "A 69586-2018")</f>
        <v/>
      </c>
      <c r="T26">
        <f>HYPERLINK("https://klasma.github.io/Logging_0840/kartor/A 69586-2018 karta.png", "A 69586-2018")</f>
        <v/>
      </c>
      <c r="V26">
        <f>HYPERLINK("https://klasma.github.io/Logging_0840/klagomål/A 69586-2018 FSC-klagomål.docx", "A 69586-2018")</f>
        <v/>
      </c>
      <c r="W26">
        <f>HYPERLINK("https://klasma.github.io/Logging_0840/klagomålsmail/A 69586-2018 FSC-klagomål mail.docx", "A 69586-2018")</f>
        <v/>
      </c>
      <c r="X26">
        <f>HYPERLINK("https://klasma.github.io/Logging_0840/tillsyn/A 69586-2018 tillsynsbegäran.docx", "A 69586-2018")</f>
        <v/>
      </c>
      <c r="Y26">
        <f>HYPERLINK("https://klasma.github.io/Logging_0840/tillsynsmail/A 69586-2018 tillsynsbegäran mail.docx", "A 69586-2018")</f>
        <v/>
      </c>
    </row>
    <row r="27" ht="15" customHeight="1">
      <c r="A27" t="inlineStr">
        <is>
          <t>A 6089-2019</t>
        </is>
      </c>
      <c r="B27" s="1" t="n">
        <v>43493</v>
      </c>
      <c r="C27" s="1" t="n">
        <v>45349</v>
      </c>
      <c r="D27" t="inlineStr">
        <is>
          <t>KALMAR LÄN</t>
        </is>
      </c>
      <c r="E27" t="inlineStr">
        <is>
          <t>MÖRBYLÅNGA</t>
        </is>
      </c>
      <c r="G27" t="n">
        <v>0.8</v>
      </c>
      <c r="H27" t="n">
        <v>1</v>
      </c>
      <c r="I27" t="n">
        <v>0</v>
      </c>
      <c r="J27" t="n">
        <v>0</v>
      </c>
      <c r="K27" t="n">
        <v>0</v>
      </c>
      <c r="L27" t="n">
        <v>0</v>
      </c>
      <c r="M27" t="n">
        <v>0</v>
      </c>
      <c r="N27" t="n">
        <v>0</v>
      </c>
      <c r="O27" t="n">
        <v>0</v>
      </c>
      <c r="P27" t="n">
        <v>0</v>
      </c>
      <c r="Q27" t="n">
        <v>1</v>
      </c>
      <c r="R27" s="2" t="inlineStr">
        <is>
          <t>Johannesnycklar</t>
        </is>
      </c>
      <c r="S27">
        <f>HYPERLINK("https://klasma.github.io/Logging_0840/artfynd/A 6089-2019 artfynd.xlsx", "A 6089-2019")</f>
        <v/>
      </c>
      <c r="T27">
        <f>HYPERLINK("https://klasma.github.io/Logging_0840/kartor/A 6089-2019 karta.png", "A 6089-2019")</f>
        <v/>
      </c>
      <c r="V27">
        <f>HYPERLINK("https://klasma.github.io/Logging_0840/klagomål/A 6089-2019 FSC-klagomål.docx", "A 6089-2019")</f>
        <v/>
      </c>
      <c r="W27">
        <f>HYPERLINK("https://klasma.github.io/Logging_0840/klagomålsmail/A 6089-2019 FSC-klagomål mail.docx", "A 6089-2019")</f>
        <v/>
      </c>
      <c r="X27">
        <f>HYPERLINK("https://klasma.github.io/Logging_0840/tillsyn/A 6089-2019 tillsynsbegäran.docx", "A 6089-2019")</f>
        <v/>
      </c>
      <c r="Y27">
        <f>HYPERLINK("https://klasma.github.io/Logging_0840/tillsynsmail/A 6089-2019 tillsynsbegäran mail.docx", "A 6089-2019")</f>
        <v/>
      </c>
    </row>
    <row r="28" ht="15" customHeight="1">
      <c r="A28" t="inlineStr">
        <is>
          <t>A 9969-2019</t>
        </is>
      </c>
      <c r="B28" s="1" t="n">
        <v>43509</v>
      </c>
      <c r="C28" s="1" t="n">
        <v>45349</v>
      </c>
      <c r="D28" t="inlineStr">
        <is>
          <t>KALMAR LÄN</t>
        </is>
      </c>
      <c r="E28" t="inlineStr">
        <is>
          <t>MÖRBYLÅNGA</t>
        </is>
      </c>
      <c r="G28" t="n">
        <v>1.5</v>
      </c>
      <c r="H28" t="n">
        <v>0</v>
      </c>
      <c r="I28" t="n">
        <v>0</v>
      </c>
      <c r="J28" t="n">
        <v>0</v>
      </c>
      <c r="K28" t="n">
        <v>1</v>
      </c>
      <c r="L28" t="n">
        <v>0</v>
      </c>
      <c r="M28" t="n">
        <v>0</v>
      </c>
      <c r="N28" t="n">
        <v>0</v>
      </c>
      <c r="O28" t="n">
        <v>1</v>
      </c>
      <c r="P28" t="n">
        <v>1</v>
      </c>
      <c r="Q28" t="n">
        <v>1</v>
      </c>
      <c r="R28" s="2" t="inlineStr">
        <is>
          <t>Sammetsmusseron</t>
        </is>
      </c>
      <c r="S28">
        <f>HYPERLINK("https://klasma.github.io/Logging_0840/artfynd/A 9969-2019 artfynd.xlsx", "A 9969-2019")</f>
        <v/>
      </c>
      <c r="T28">
        <f>HYPERLINK("https://klasma.github.io/Logging_0840/kartor/A 9969-2019 karta.png", "A 9969-2019")</f>
        <v/>
      </c>
      <c r="V28">
        <f>HYPERLINK("https://klasma.github.io/Logging_0840/klagomål/A 9969-2019 FSC-klagomål.docx", "A 9969-2019")</f>
        <v/>
      </c>
      <c r="W28">
        <f>HYPERLINK("https://klasma.github.io/Logging_0840/klagomålsmail/A 9969-2019 FSC-klagomål mail.docx", "A 9969-2019")</f>
        <v/>
      </c>
      <c r="X28">
        <f>HYPERLINK("https://klasma.github.io/Logging_0840/tillsyn/A 9969-2019 tillsynsbegäran.docx", "A 9969-2019")</f>
        <v/>
      </c>
      <c r="Y28">
        <f>HYPERLINK("https://klasma.github.io/Logging_0840/tillsynsmail/A 9969-2019 tillsynsbegäran mail.docx", "A 9969-2019")</f>
        <v/>
      </c>
    </row>
    <row r="29" ht="15" customHeight="1">
      <c r="A29" t="inlineStr">
        <is>
          <t>A 39367-2019</t>
        </is>
      </c>
      <c r="B29" s="1" t="n">
        <v>43690</v>
      </c>
      <c r="C29" s="1" t="n">
        <v>45349</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45349</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45349</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45349</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45349</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45349</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45349</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45349</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45349</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45349</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6084-2019</t>
        </is>
      </c>
      <c r="B39" s="1" t="n">
        <v>43493</v>
      </c>
      <c r="C39" s="1" t="n">
        <v>45349</v>
      </c>
      <c r="D39" t="inlineStr">
        <is>
          <t>KALMAR LÄN</t>
        </is>
      </c>
      <c r="E39" t="inlineStr">
        <is>
          <t>MÖRBYLÅNGA</t>
        </is>
      </c>
      <c r="G39" t="n">
        <v>0.7</v>
      </c>
      <c r="H39" t="n">
        <v>0</v>
      </c>
      <c r="I39" t="n">
        <v>0</v>
      </c>
      <c r="J39" t="n">
        <v>0</v>
      </c>
      <c r="K39" t="n">
        <v>0</v>
      </c>
      <c r="L39" t="n">
        <v>0</v>
      </c>
      <c r="M39" t="n">
        <v>0</v>
      </c>
      <c r="N39" t="n">
        <v>0</v>
      </c>
      <c r="O39" t="n">
        <v>0</v>
      </c>
      <c r="P39" t="n">
        <v>0</v>
      </c>
      <c r="Q39" t="n">
        <v>0</v>
      </c>
      <c r="R39" s="2" t="inlineStr"/>
    </row>
    <row r="40" ht="15" customHeight="1">
      <c r="A40" t="inlineStr">
        <is>
          <t>A 7193-2019</t>
        </is>
      </c>
      <c r="B40" s="1" t="n">
        <v>43496</v>
      </c>
      <c r="C40" s="1" t="n">
        <v>45349</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9970-2019</t>
        </is>
      </c>
      <c r="B41" s="1" t="n">
        <v>43509</v>
      </c>
      <c r="C41" s="1" t="n">
        <v>45349</v>
      </c>
      <c r="D41" t="inlineStr">
        <is>
          <t>KALMAR LÄN</t>
        </is>
      </c>
      <c r="E41" t="inlineStr">
        <is>
          <t>MÖRBYLÅNGA</t>
        </is>
      </c>
      <c r="G41" t="n">
        <v>0.4</v>
      </c>
      <c r="H41" t="n">
        <v>0</v>
      </c>
      <c r="I41" t="n">
        <v>0</v>
      </c>
      <c r="J41" t="n">
        <v>0</v>
      </c>
      <c r="K41" t="n">
        <v>0</v>
      </c>
      <c r="L41" t="n">
        <v>0</v>
      </c>
      <c r="M41" t="n">
        <v>0</v>
      </c>
      <c r="N41" t="n">
        <v>0</v>
      </c>
      <c r="O41" t="n">
        <v>0</v>
      </c>
      <c r="P41" t="n">
        <v>0</v>
      </c>
      <c r="Q41" t="n">
        <v>0</v>
      </c>
      <c r="R41" s="2" t="inlineStr"/>
    </row>
    <row r="42" ht="15" customHeight="1">
      <c r="A42" t="inlineStr">
        <is>
          <t>A 9967-2019</t>
        </is>
      </c>
      <c r="B42" s="1" t="n">
        <v>43509</v>
      </c>
      <c r="C42" s="1" t="n">
        <v>45349</v>
      </c>
      <c r="D42" t="inlineStr">
        <is>
          <t>KALMAR LÄN</t>
        </is>
      </c>
      <c r="E42" t="inlineStr">
        <is>
          <t>MÖRBYLÅNGA</t>
        </is>
      </c>
      <c r="G42" t="n">
        <v>2.7</v>
      </c>
      <c r="H42" t="n">
        <v>0</v>
      </c>
      <c r="I42" t="n">
        <v>0</v>
      </c>
      <c r="J42" t="n">
        <v>0</v>
      </c>
      <c r="K42" t="n">
        <v>0</v>
      </c>
      <c r="L42" t="n">
        <v>0</v>
      </c>
      <c r="M42" t="n">
        <v>0</v>
      </c>
      <c r="N42" t="n">
        <v>0</v>
      </c>
      <c r="O42" t="n">
        <v>0</v>
      </c>
      <c r="P42" t="n">
        <v>0</v>
      </c>
      <c r="Q42" t="n">
        <v>0</v>
      </c>
      <c r="R42" s="2" t="inlineStr"/>
    </row>
    <row r="43" ht="15" customHeight="1">
      <c r="A43" t="inlineStr">
        <is>
          <t>A 24851-2019</t>
        </is>
      </c>
      <c r="B43" s="1" t="n">
        <v>43602</v>
      </c>
      <c r="C43" s="1" t="n">
        <v>45349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45349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45349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45349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45349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45349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45349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45349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45349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45349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45349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45349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45349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45349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45349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21214-2023</t>
        </is>
      </c>
      <c r="B58" s="1" t="n">
        <v>45062</v>
      </c>
      <c r="C58" s="1" t="n">
        <v>45349</v>
      </c>
      <c r="D58" t="inlineStr">
        <is>
          <t>KALMAR LÄN</t>
        </is>
      </c>
      <c r="E58" t="inlineStr">
        <is>
          <t>MÖRBYLÅNGA</t>
        </is>
      </c>
      <c r="G58" t="n">
        <v>3.5</v>
      </c>
      <c r="H58" t="n">
        <v>0</v>
      </c>
      <c r="I58" t="n">
        <v>0</v>
      </c>
      <c r="J58" t="n">
        <v>0</v>
      </c>
      <c r="K58" t="n">
        <v>0</v>
      </c>
      <c r="L58" t="n">
        <v>0</v>
      </c>
      <c r="M58" t="n">
        <v>0</v>
      </c>
      <c r="N58" t="n">
        <v>0</v>
      </c>
      <c r="O58" t="n">
        <v>0</v>
      </c>
      <c r="P58" t="n">
        <v>0</v>
      </c>
      <c r="Q58" t="n">
        <v>0</v>
      </c>
      <c r="R58" s="2" t="inlineStr"/>
    </row>
    <row r="59" ht="15" customHeight="1">
      <c r="A59" t="inlineStr">
        <is>
          <t>A 63676-2023</t>
        </is>
      </c>
      <c r="B59" s="1" t="n">
        <v>45275</v>
      </c>
      <c r="C59" s="1" t="n">
        <v>45349</v>
      </c>
      <c r="D59" t="inlineStr">
        <is>
          <t>KALMAR LÄN</t>
        </is>
      </c>
      <c r="E59" t="inlineStr">
        <is>
          <t>MÖRBYLÅNGA</t>
        </is>
      </c>
      <c r="G59" t="n">
        <v>1</v>
      </c>
      <c r="H59" t="n">
        <v>0</v>
      </c>
      <c r="I59" t="n">
        <v>0</v>
      </c>
      <c r="J59" t="n">
        <v>0</v>
      </c>
      <c r="K59" t="n">
        <v>0</v>
      </c>
      <c r="L59" t="n">
        <v>0</v>
      </c>
      <c r="M59" t="n">
        <v>0</v>
      </c>
      <c r="N59" t="n">
        <v>0</v>
      </c>
      <c r="O59" t="n">
        <v>0</v>
      </c>
      <c r="P59" t="n">
        <v>0</v>
      </c>
      <c r="Q59" t="n">
        <v>0</v>
      </c>
      <c r="R59" s="2" t="inlineStr"/>
    </row>
    <row r="60">
      <c r="A60" t="inlineStr">
        <is>
          <t>A 4152-2024</t>
        </is>
      </c>
      <c r="B60" s="1" t="n">
        <v>45323</v>
      </c>
      <c r="C60" s="1" t="n">
        <v>45349</v>
      </c>
      <c r="D60" t="inlineStr">
        <is>
          <t>KALMAR LÄN</t>
        </is>
      </c>
      <c r="E60" t="inlineStr">
        <is>
          <t>MÖRBYLÅNGA</t>
        </is>
      </c>
      <c r="G60" t="n">
        <v>0.7</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2024-02-27T13:08:09Z</dcterms:created>
  <dcterms:modified xmlns:dcterms="http://purl.org/dc/terms/" xmlns:xsi="http://www.w3.org/2001/XMLSchema-instance" xsi:type="dcterms:W3CDTF">2024-02-27T13:08:10Z</dcterms:modified>
</cp:coreProperties>
</file>