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46242</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46242</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46242</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46242</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46242</v>
      </c>
      <c r="F6" t="inlineStr">
        <is>
          <t>KALMAR LÄN</t>
        </is>
      </c>
      <c r="G6" t="inlineStr">
        <is>
          <t>MÖRBYLÅNGA</t>
        </is>
      </c>
      <c r="I6" t="n">
        <v>7.3</v>
      </c>
      <c r="J6" t="n">
        <v>10</v>
      </c>
      <c r="K6" t="n">
        <v>7</v>
      </c>
      <c r="L6" t="n">
        <v>18</v>
      </c>
      <c r="M6" t="n">
        <v>3</v>
      </c>
      <c r="N6" t="n">
        <v>2</v>
      </c>
      <c r="O6" t="n">
        <v>1</v>
      </c>
      <c r="P6" t="n">
        <v>0</v>
      </c>
      <c r="Q6" t="n">
        <v>24</v>
      </c>
      <c r="R6" t="n">
        <v>6</v>
      </c>
      <c r="S6" t="n">
        <v>36</v>
      </c>
      <c r="T6" t="n">
        <v>185</v>
      </c>
      <c r="U6" t="n">
        <v>145</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46242</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46242</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46242</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46242</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46242</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46242</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46242</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46242</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46242</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60875-2025</t>
        </is>
      </c>
      <c r="B16" t="inlineStr">
        <is>
          <t>avverkningsanmälan</t>
        </is>
      </c>
      <c r="C16" t="inlineStr">
        <is>
          <t>Föryngringsavverkning</t>
        </is>
      </c>
      <c r="D16" s="1" t="n">
        <v>45999</v>
      </c>
      <c r="E16" s="1" t="n">
        <v>46242</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27636-2023</t>
        </is>
      </c>
      <c r="B17" t="inlineStr">
        <is>
          <t>avverkningsanmälan</t>
        </is>
      </c>
      <c r="C17" t="inlineStr">
        <is>
          <t>Avverkning för annat ändamål</t>
        </is>
      </c>
      <c r="D17" s="1" t="n">
        <v>45097</v>
      </c>
      <c r="E17" s="1" t="n">
        <v>46242</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46242</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46242</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46242</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46242</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46242</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46242</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46242</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46242</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46242</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46242</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46242</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46242</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46242</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46242</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46242</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t="n">
        <v>0</v>
      </c>
      <c r="V32" s="2" t="inlineStr">
        <is>
          <t>Backstarr
Murgröna
Nästrot
Vätteros</t>
        </is>
      </c>
      <c r="W32">
        <f>HYPERLINK("https://klasma.github.io/Logging_0840/artfynd/A 26440-2026 artfynd.xlsx", "A 26440-2026")</f>
        <v/>
      </c>
      <c r="X32">
        <f>HYPERLINK("https://klasma.github.io/Logging_0840/kartor/A 26440-2026 karta.png", "A 26440-2026")</f>
        <v/>
      </c>
      <c r="Y32">
        <f>HYPERLINK("https://klasma.github.io/Logging_0840/kartor_geotiff/A 26440-2026 georefererad karta.tif", "A 26440-2026")</f>
        <v/>
      </c>
      <c r="AA32">
        <f>HYPERLINK("https://klasma.github.io/Logging_0840/klagomål/A 26440-2026 FSC-klagomål.docx", "A 26440-2026")</f>
        <v/>
      </c>
      <c r="AB32">
        <f>HYPERLINK("https://klasma.github.io/Logging_0840/klagomålsmail/A 26440-2026 FSC-klagomål mail.docx", "A 26440-2026")</f>
        <v/>
      </c>
      <c r="AC32">
        <f>HYPERLINK("https://klasma.github.io/Logging_0840/tillsyn/A 26440-2026 tillsynsbegäran.docx", "A 26440-2026")</f>
        <v/>
      </c>
      <c r="AD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46242</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46242</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46242</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46242</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46242</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46242</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29360-2026</t>
        </is>
      </c>
      <c r="B39" t="inlineStr">
        <is>
          <t>avverkningsanmälan</t>
        </is>
      </c>
      <c r="C39" t="inlineStr">
        <is>
          <t>Avverkning för annat ändamål</t>
        </is>
      </c>
      <c r="D39" s="1" t="n">
        <v>46203</v>
      </c>
      <c r="E39" s="1" t="n">
        <v>46242</v>
      </c>
      <c r="F39" t="inlineStr">
        <is>
          <t>KALMAR LÄN</t>
        </is>
      </c>
      <c r="G39" t="inlineStr">
        <is>
          <t>MÖRBYLÅNGA</t>
        </is>
      </c>
      <c r="I39" t="n">
        <v>2.9</v>
      </c>
      <c r="J39" t="n">
        <v>0</v>
      </c>
      <c r="K39" t="n">
        <v>0</v>
      </c>
      <c r="L39" t="n">
        <v>1</v>
      </c>
      <c r="M39" t="n">
        <v>1</v>
      </c>
      <c r="N39" t="n">
        <v>0</v>
      </c>
      <c r="O39" t="n">
        <v>0</v>
      </c>
      <c r="P39" t="n">
        <v>0</v>
      </c>
      <c r="Q39" t="n">
        <v>2</v>
      </c>
      <c r="R39" t="n">
        <v>1</v>
      </c>
      <c r="S39" t="n">
        <v>2</v>
      </c>
      <c r="T39" t="n">
        <v>2</v>
      </c>
      <c r="U39" t="n">
        <v>0</v>
      </c>
      <c r="V39" s="2" t="inlineStr">
        <is>
          <t>Mindre blåvinge
Silversmygare</t>
        </is>
      </c>
      <c r="W39">
        <f>HYPERLINK("https://klasma.github.io/Logging_0840/artfynd/A 29360-2026 artfynd.xlsx", "A 29360-2026")</f>
        <v/>
      </c>
      <c r="X39">
        <f>HYPERLINK("https://klasma.github.io/Logging_0840/kartor/A 29360-2026 karta.png", "A 29360-2026")</f>
        <v/>
      </c>
      <c r="Y39">
        <f>HYPERLINK("https://klasma.github.io/Logging_0840/kartor_geotiff/A 29360-2026 georefererad karta.tif", "A 29360-2026")</f>
        <v/>
      </c>
      <c r="AA39">
        <f>HYPERLINK("https://klasma.github.io/Logging_0840/klagomål/A 29360-2026 FSC-klagomål.docx", "A 29360-2026")</f>
        <v/>
      </c>
      <c r="AB39">
        <f>HYPERLINK("https://klasma.github.io/Logging_0840/klagomålsmail/A 29360-2026 FSC-klagomål mail.docx", "A 29360-2026")</f>
        <v/>
      </c>
      <c r="AC39">
        <f>HYPERLINK("https://klasma.github.io/Logging_0840/tillsyn/A 29360-2026 tillsynsbegäran.docx", "A 29360-2026")</f>
        <v/>
      </c>
      <c r="AD39">
        <f>HYPERLINK("https://klasma.github.io/Logging_0840/tillsynsmail/A 29360-2026 tillsynsbegäran mail.docx", "A 29360-2026")</f>
        <v/>
      </c>
    </row>
    <row r="40" ht="15" customHeight="1">
      <c r="A40" t="inlineStr">
        <is>
          <t>A 72167-2021</t>
        </is>
      </c>
      <c r="B40" t="inlineStr">
        <is>
          <t>avverkningsanmälan</t>
        </is>
      </c>
      <c r="C40" t="inlineStr">
        <is>
          <t>Föryngringsavverkning</t>
        </is>
      </c>
      <c r="D40" s="1" t="n">
        <v>44544</v>
      </c>
      <c r="E40" s="1" t="n">
        <v>46242</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24698-2023</t>
        </is>
      </c>
      <c r="B41" t="inlineStr">
        <is>
          <t>avverkningsanmälan</t>
        </is>
      </c>
      <c r="C41" t="inlineStr">
        <is>
          <t>Föryngringsavverkning</t>
        </is>
      </c>
      <c r="D41" s="1" t="n">
        <v>45084</v>
      </c>
      <c r="E41" s="1" t="n">
        <v>46242</v>
      </c>
      <c r="F41" t="inlineStr">
        <is>
          <t>KALMAR LÄN</t>
        </is>
      </c>
      <c r="G41" t="inlineStr">
        <is>
          <t>MÖRBYLÅNGA</t>
        </is>
      </c>
      <c r="I41" t="n">
        <v>5.5</v>
      </c>
      <c r="J41" t="n">
        <v>0</v>
      </c>
      <c r="K41" t="n">
        <v>0</v>
      </c>
      <c r="L41" t="n">
        <v>1</v>
      </c>
      <c r="M41" t="n">
        <v>0</v>
      </c>
      <c r="N41" t="n">
        <v>0</v>
      </c>
      <c r="O41" t="n">
        <v>0</v>
      </c>
      <c r="P41" t="n">
        <v>0</v>
      </c>
      <c r="Q41" t="n">
        <v>1</v>
      </c>
      <c r="R41" t="n">
        <v>0</v>
      </c>
      <c r="S41" t="n">
        <v>1</v>
      </c>
      <c r="T41" t="n">
        <v>1</v>
      </c>
      <c r="U41" t="n">
        <v>1</v>
      </c>
      <c r="V41" s="2" t="inlineStr">
        <is>
          <t>Sårläka</t>
        </is>
      </c>
      <c r="W41">
        <f>HYPERLINK("https://klasma.github.io/Logging_0840/artfynd/A 24698-2023 artfynd.xlsx", "A 24698-2023")</f>
        <v/>
      </c>
      <c r="X41">
        <f>HYPERLINK("https://klasma.github.io/Logging_0840/kartor/A 24698-2023 karta.png", "A 24698-2023")</f>
        <v/>
      </c>
      <c r="Y41">
        <f>HYPERLINK("https://klasma.github.io/Logging_0840/kartor_geotiff/A 24698-2023 georefererad karta.tif", "A 24698-2023")</f>
        <v/>
      </c>
      <c r="AA41">
        <f>HYPERLINK("https://klasma.github.io/Logging_0840/klagomål/A 24698-2023 FSC-klagomål.docx", "A 24698-2023")</f>
        <v/>
      </c>
      <c r="AB41">
        <f>HYPERLINK("https://klasma.github.io/Logging_0840/klagomålsmail/A 24698-2023 FSC-klagomål mail.docx", "A 24698-2023")</f>
        <v/>
      </c>
      <c r="AC41">
        <f>HYPERLINK("https://klasma.github.io/Logging_0840/tillsyn/A 24698-2023 tillsynsbegäran.docx", "A 24698-2023")</f>
        <v/>
      </c>
      <c r="AD41">
        <f>HYPERLINK("https://klasma.github.io/Logging_0840/tillsynsmail/A 24698-2023 tillsynsbegäran mail.docx", "A 24698-2023")</f>
        <v/>
      </c>
    </row>
    <row r="42" ht="15" customHeight="1">
      <c r="A42" t="inlineStr">
        <is>
          <t>A 62183-2025</t>
        </is>
      </c>
      <c r="B42" t="inlineStr">
        <is>
          <t>avverkningsanmälan</t>
        </is>
      </c>
      <c r="C42" t="inlineStr">
        <is>
          <t>Föryngringsavverkning</t>
        </is>
      </c>
      <c r="D42" s="1" t="n">
        <v>46006</v>
      </c>
      <c r="E42" s="1" t="n">
        <v>46242</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13040-2024</t>
        </is>
      </c>
      <c r="B43" t="inlineStr">
        <is>
          <t>avverkningsanmälan</t>
        </is>
      </c>
      <c r="C43" t="inlineStr">
        <is>
          <t>Avverkning för annat ändamål</t>
        </is>
      </c>
      <c r="D43" s="1" t="n">
        <v>45385</v>
      </c>
      <c r="E43" s="1" t="n">
        <v>46242</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46242</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30492-2026</t>
        </is>
      </c>
      <c r="B45" t="inlineStr">
        <is>
          <t>avverkningsanmälan</t>
        </is>
      </c>
      <c r="C45" t="inlineStr">
        <is>
          <t>Avverkning för annat ändamål</t>
        </is>
      </c>
      <c r="D45" s="1" t="n">
        <v>46210</v>
      </c>
      <c r="E45" s="1" t="n">
        <v>46242</v>
      </c>
      <c r="F45" t="inlineStr">
        <is>
          <t>KALMAR LÄN</t>
        </is>
      </c>
      <c r="G45" t="inlineStr">
        <is>
          <t>MÖRBYLÅNGA</t>
        </is>
      </c>
      <c r="I45" t="n">
        <v>2</v>
      </c>
      <c r="J45" t="n">
        <v>0</v>
      </c>
      <c r="K45" t="n">
        <v>0</v>
      </c>
      <c r="L45" t="n">
        <v>1</v>
      </c>
      <c r="M45" t="n">
        <v>0</v>
      </c>
      <c r="N45" t="n">
        <v>0</v>
      </c>
      <c r="O45" t="n">
        <v>0</v>
      </c>
      <c r="P45" t="n">
        <v>0</v>
      </c>
      <c r="Q45" t="n">
        <v>1</v>
      </c>
      <c r="R45" t="n">
        <v>0</v>
      </c>
      <c r="S45" t="n">
        <v>1</v>
      </c>
      <c r="T45" t="n">
        <v>1</v>
      </c>
      <c r="U45" t="n">
        <v>0</v>
      </c>
      <c r="V45" s="2" t="inlineStr">
        <is>
          <t>Jordtistel</t>
        </is>
      </c>
      <c r="W45">
        <f>HYPERLINK("https://klasma.github.io/Logging_0840/artfynd/A 30492-2026 artfynd.xlsx", "A 30492-2026")</f>
        <v/>
      </c>
      <c r="X45">
        <f>HYPERLINK("https://klasma.github.io/Logging_0840/kartor/A 30492-2026 karta.png", "A 30492-2026")</f>
        <v/>
      </c>
      <c r="Y45">
        <f>HYPERLINK("https://klasma.github.io/Logging_0840/kartor_geotiff/A 30492-2026 georefererad karta.tif", "A 30492-2026")</f>
        <v/>
      </c>
      <c r="AA45">
        <f>HYPERLINK("https://klasma.github.io/Logging_0840/klagomål/A 30492-2026 FSC-klagomål.docx", "A 30492-2026")</f>
        <v/>
      </c>
      <c r="AB45">
        <f>HYPERLINK("https://klasma.github.io/Logging_0840/klagomålsmail/A 30492-2026 FSC-klagomål mail.docx", "A 30492-2026")</f>
        <v/>
      </c>
      <c r="AC45">
        <f>HYPERLINK("https://klasma.github.io/Logging_0840/tillsyn/A 30492-2026 tillsynsbegäran.docx", "A 30492-2026")</f>
        <v/>
      </c>
      <c r="AD45">
        <f>HYPERLINK("https://klasma.github.io/Logging_0840/tillsynsmail/A 30492-2026 tillsynsbegäran mail.docx", "A 30492-2026")</f>
        <v/>
      </c>
    </row>
    <row r="46" ht="15" customHeight="1">
      <c r="A46" t="inlineStr">
        <is>
          <t>A 26876-2022</t>
        </is>
      </c>
      <c r="B46" t="inlineStr">
        <is>
          <t>avverkningsanmälan</t>
        </is>
      </c>
      <c r="C46" t="inlineStr">
        <is>
          <t>Avverkning för annat ändamål</t>
        </is>
      </c>
      <c r="D46" s="1" t="n">
        <v>44740</v>
      </c>
      <c r="E46" s="1" t="n">
        <v>46242</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46242</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46242</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2026-08-08T01:54:17Z</dcterms:created>
  <dcterms:modified xmlns:dcterms="http://purl.org/dc/terms/" xmlns:xsi="http://www.w3.org/2001/XMLSchema-instance" xsi:type="dcterms:W3CDTF">2026-08-08T01:54:17Z</dcterms:modified>
</cp:coreProperties>
</file>