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46295</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46295</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46295</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46295</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46295</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46295</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46295</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46295</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46295</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46295</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46295</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46295</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46295</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46295</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46295</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46295</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46295</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46295</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46295</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46295</v>
      </c>
      <c r="F21" t="inlineStr">
        <is>
          <t>KALMAR LÄN</t>
        </is>
      </c>
      <c r="G21" t="inlineStr">
        <is>
          <t>MÖRBYLÅNGA</t>
        </is>
      </c>
      <c r="I21" t="n">
        <v>4.7</v>
      </c>
      <c r="J21" t="n">
        <v>4</v>
      </c>
      <c r="K21" t="n">
        <v>2</v>
      </c>
      <c r="L21" t="n">
        <v>3</v>
      </c>
      <c r="M21" t="n">
        <v>3</v>
      </c>
      <c r="N21" t="n">
        <v>0</v>
      </c>
      <c r="O21" t="n">
        <v>0</v>
      </c>
      <c r="P21" t="n">
        <v>0</v>
      </c>
      <c r="Q21" t="n">
        <v>6</v>
      </c>
      <c r="R21" t="n">
        <v>3</v>
      </c>
      <c r="S21" t="n">
        <v>9</v>
      </c>
      <c r="T21" t="n">
        <v>12</v>
      </c>
      <c r="U21" t="n">
        <v>8</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46295</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46295</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46295</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46295</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46295</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46295</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46295</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46295</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46295</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46295</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46295</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46295</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46295</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43702-2025</t>
        </is>
      </c>
      <c r="B35" t="inlineStr">
        <is>
          <t>avverkningsanmälan</t>
        </is>
      </c>
      <c r="C35" t="inlineStr">
        <is>
          <t>Föryngringsavverkning</t>
        </is>
      </c>
      <c r="D35" s="1" t="n">
        <v>45912</v>
      </c>
      <c r="E35" s="1" t="n">
        <v>46295</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46295</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29360-2026</t>
        </is>
      </c>
      <c r="B37" t="inlineStr">
        <is>
          <t>avverkningsanmälan</t>
        </is>
      </c>
      <c r="C37" t="inlineStr">
        <is>
          <t>Avverkning för annat ändamål</t>
        </is>
      </c>
      <c r="D37" s="1" t="n">
        <v>46203</v>
      </c>
      <c r="E37" s="1" t="n">
        <v>46295</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54192-2021</t>
        </is>
      </c>
      <c r="B38" t="inlineStr">
        <is>
          <t>avverkningsanmälan</t>
        </is>
      </c>
      <c r="C38" t="inlineStr">
        <is>
          <t>Föryngringsavverkning</t>
        </is>
      </c>
      <c r="D38" s="1" t="n">
        <v>44470</v>
      </c>
      <c r="E38" s="1" t="n">
        <v>46295</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72167-2021</t>
        </is>
      </c>
      <c r="B39" t="inlineStr">
        <is>
          <t>avverkningsanmälan</t>
        </is>
      </c>
      <c r="C39" t="inlineStr">
        <is>
          <t>Föryngringsavverkning</t>
        </is>
      </c>
      <c r="D39" s="1" t="n">
        <v>44544</v>
      </c>
      <c r="E39" s="1" t="n">
        <v>46295</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62231-2023</t>
        </is>
      </c>
      <c r="B40" t="inlineStr">
        <is>
          <t>avverkningsanmälan</t>
        </is>
      </c>
      <c r="C40" t="inlineStr">
        <is>
          <t>Avverkning för annat ändamål</t>
        </is>
      </c>
      <c r="D40" s="1" t="n">
        <v>45267</v>
      </c>
      <c r="E40" s="1" t="n">
        <v>46295</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S 2138-2026</t>
        </is>
      </c>
      <c r="B41" t="inlineStr">
        <is>
          <t>samrådsanmälan</t>
        </is>
      </c>
      <c r="C41" t="inlineStr">
        <is>
          <t>Annan skogsbruksåtgärd</t>
        </is>
      </c>
      <c r="D41" s="1" t="n">
        <v>46246</v>
      </c>
      <c r="E41" s="1" t="n">
        <v>46295</v>
      </c>
      <c r="F41" t="inlineStr">
        <is>
          <t>KALMAR LÄN</t>
        </is>
      </c>
      <c r="G41" t="inlineStr">
        <is>
          <t>MÖRBYLÅNGA</t>
        </is>
      </c>
      <c r="I41" t="n">
        <v>5.4</v>
      </c>
      <c r="J41" t="n">
        <v>1</v>
      </c>
      <c r="K41" t="n">
        <v>1</v>
      </c>
      <c r="L41" t="n">
        <v>0</v>
      </c>
      <c r="M41" t="n">
        <v>0</v>
      </c>
      <c r="N41" t="n">
        <v>1</v>
      </c>
      <c r="O41" t="n">
        <v>0</v>
      </c>
      <c r="P41" t="n">
        <v>0</v>
      </c>
      <c r="Q41" t="n">
        <v>1</v>
      </c>
      <c r="R41" t="n">
        <v>1</v>
      </c>
      <c r="S41" t="n">
        <v>2</v>
      </c>
      <c r="T41" t="n">
        <v>2</v>
      </c>
      <c r="U41" t="n">
        <v>0</v>
      </c>
      <c r="V41" s="2" t="inlineStr">
        <is>
          <t>Ask
Ekoxe</t>
        </is>
      </c>
      <c r="W41">
        <f>HYPERLINK("https://klasma.github.io/Logging_0840/artfynd/S 2138-2026 artfynd.xlsx", "S 2138-2026")</f>
        <v/>
      </c>
      <c r="X41">
        <f>HYPERLINK("https://klasma.github.io/Logging_0840/kartor/S 2138-2026 karta.png", "S 2138-2026")</f>
        <v/>
      </c>
      <c r="Y41">
        <f>HYPERLINK("https://klasma.github.io/Logging_0840/kartor_geotiff/S 2138-2026 georefererad karta.tif", "S 2138-2026")</f>
        <v/>
      </c>
      <c r="AA41">
        <f>HYPERLINK("https://klasma.github.io/Logging_0840/klagomål/S 2138-2026 FSC-klagomål.docx", "S 2138-2026")</f>
        <v/>
      </c>
      <c r="AB41">
        <f>HYPERLINK("https://klasma.github.io/Logging_0840/klagomålsmail/S 2138-2026 FSC-klagomål mail.docx", "S 2138-2026")</f>
        <v/>
      </c>
      <c r="AC41">
        <f>HYPERLINK("https://klasma.github.io/Logging_0840/tillsyn/S 2138-2026 tillsynsbegäran.docx", "S 2138-2026")</f>
        <v/>
      </c>
      <c r="AD41">
        <f>HYPERLINK("https://klasma.github.io/Logging_0840/tillsynsmail/S 2138-2026 tillsynsbegäran mail.docx", "S 2138-2026")</f>
        <v/>
      </c>
    </row>
    <row r="42" ht="15" customHeight="1">
      <c r="A42" t="inlineStr">
        <is>
          <t>A 13040-2024</t>
        </is>
      </c>
      <c r="B42" t="inlineStr">
        <is>
          <t>avverkningsanmälan</t>
        </is>
      </c>
      <c r="C42" t="inlineStr">
        <is>
          <t>Avverkning för annat ändamål</t>
        </is>
      </c>
      <c r="D42" s="1" t="n">
        <v>45385</v>
      </c>
      <c r="E42" s="1" t="n">
        <v>46295</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13384-2023</t>
        </is>
      </c>
      <c r="B43" t="inlineStr">
        <is>
          <t>avverkningsanmälan</t>
        </is>
      </c>
      <c r="C43" t="inlineStr">
        <is>
          <t>Föryngringsavverkning</t>
        </is>
      </c>
      <c r="D43" s="1" t="n">
        <v>45005</v>
      </c>
      <c r="E43" s="1" t="n">
        <v>46295</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24698-2023</t>
        </is>
      </c>
      <c r="B44" t="inlineStr">
        <is>
          <t>avverkningsanmälan</t>
        </is>
      </c>
      <c r="C44" t="inlineStr">
        <is>
          <t>Föryngringsavverkning</t>
        </is>
      </c>
      <c r="D44" s="1" t="n">
        <v>45084</v>
      </c>
      <c r="E44" s="1" t="n">
        <v>46295</v>
      </c>
      <c r="F44" t="inlineStr">
        <is>
          <t>KALMAR LÄN</t>
        </is>
      </c>
      <c r="G44" t="inlineStr">
        <is>
          <t>MÖRBYLÅNGA</t>
        </is>
      </c>
      <c r="I44" t="n">
        <v>5.5</v>
      </c>
      <c r="J44" t="n">
        <v>0</v>
      </c>
      <c r="K44" t="n">
        <v>0</v>
      </c>
      <c r="L44" t="n">
        <v>1</v>
      </c>
      <c r="M44" t="n">
        <v>0</v>
      </c>
      <c r="N44" t="n">
        <v>0</v>
      </c>
      <c r="O44" t="n">
        <v>0</v>
      </c>
      <c r="P44" t="n">
        <v>0</v>
      </c>
      <c r="Q44" t="n">
        <v>1</v>
      </c>
      <c r="R44" t="n">
        <v>0</v>
      </c>
      <c r="S44" t="n">
        <v>1</v>
      </c>
      <c r="T44" t="n">
        <v>1</v>
      </c>
      <c r="U44" t="n">
        <v>1</v>
      </c>
      <c r="V44" s="2" t="inlineStr">
        <is>
          <t>Sårläka</t>
        </is>
      </c>
      <c r="W44">
        <f>HYPERLINK("https://klasma.github.io/Logging_0840/artfynd/A 24698-2023 artfynd.xlsx", "A 24698-2023")</f>
        <v/>
      </c>
      <c r="X44">
        <f>HYPERLINK("https://klasma.github.io/Logging_0840/kartor/A 24698-2023 karta.png", "A 24698-2023")</f>
        <v/>
      </c>
      <c r="Y44">
        <f>HYPERLINK("https://klasma.github.io/Logging_0840/kartor_geotiff/A 24698-2023 georefererad karta.tif", "A 24698-2023")</f>
        <v/>
      </c>
      <c r="AA44">
        <f>HYPERLINK("https://klasma.github.io/Logging_0840/klagomål/A 24698-2023 FSC-klagomål.docx", "A 24698-2023")</f>
        <v/>
      </c>
      <c r="AB44">
        <f>HYPERLINK("https://klasma.github.io/Logging_0840/klagomålsmail/A 24698-2023 FSC-klagomål mail.docx", "A 24698-2023")</f>
        <v/>
      </c>
      <c r="AC44">
        <f>HYPERLINK("https://klasma.github.io/Logging_0840/tillsyn/A 24698-2023 tillsynsbegäran.docx", "A 24698-2023")</f>
        <v/>
      </c>
      <c r="AD44">
        <f>HYPERLINK("https://klasma.github.io/Logging_0840/tillsynsmail/A 24698-2023 tillsynsbegäran mail.docx", "A 24698-2023")</f>
        <v/>
      </c>
    </row>
    <row r="45" ht="15" customHeight="1">
      <c r="A45" t="inlineStr">
        <is>
          <t>A 62183-2025</t>
        </is>
      </c>
      <c r="B45" t="inlineStr">
        <is>
          <t>avverkningsanmälan</t>
        </is>
      </c>
      <c r="C45" t="inlineStr">
        <is>
          <t>Föryngringsavverkning</t>
        </is>
      </c>
      <c r="D45" s="1" t="n">
        <v>46006</v>
      </c>
      <c r="E45" s="1" t="n">
        <v>46295</v>
      </c>
      <c r="F45" t="inlineStr">
        <is>
          <t>KALMAR LÄN</t>
        </is>
      </c>
      <c r="G45" t="inlineStr">
        <is>
          <t>MÖRBYLÅNGA</t>
        </is>
      </c>
      <c r="I45" t="n">
        <v>0.8</v>
      </c>
      <c r="J45" t="n">
        <v>0</v>
      </c>
      <c r="K45" t="n">
        <v>0</v>
      </c>
      <c r="L45" t="n">
        <v>1</v>
      </c>
      <c r="M45" t="n">
        <v>0</v>
      </c>
      <c r="N45" t="n">
        <v>0</v>
      </c>
      <c r="O45" t="n">
        <v>0</v>
      </c>
      <c r="P45" t="n">
        <v>0</v>
      </c>
      <c r="Q45" t="n">
        <v>1</v>
      </c>
      <c r="R45" t="n">
        <v>0</v>
      </c>
      <c r="S45" t="n">
        <v>1</v>
      </c>
      <c r="T45" t="n">
        <v>1</v>
      </c>
      <c r="U45" t="n">
        <v>0</v>
      </c>
      <c r="V45" s="2" t="inlineStr">
        <is>
          <t>Kösa</t>
        </is>
      </c>
      <c r="W45">
        <f>HYPERLINK("https://klasma.github.io/Logging_0840/artfynd/A 62183-2025 artfynd.xlsx", "A 62183-2025")</f>
        <v/>
      </c>
      <c r="X45">
        <f>HYPERLINK("https://klasma.github.io/Logging_0840/kartor/A 62183-2025 karta.png", "A 62183-2025")</f>
        <v/>
      </c>
      <c r="Y45">
        <f>HYPERLINK("https://klasma.github.io/Logging_0840/kartor_geotiff/A 62183-2025 georefererad karta.tif", "A 62183-2025")</f>
        <v/>
      </c>
      <c r="AA45">
        <f>HYPERLINK("https://klasma.github.io/Logging_0840/klagomål/A 62183-2025 FSC-klagomål.docx", "A 62183-2025")</f>
        <v/>
      </c>
      <c r="AB45">
        <f>HYPERLINK("https://klasma.github.io/Logging_0840/klagomålsmail/A 62183-2025 FSC-klagomål mail.docx", "A 62183-2025")</f>
        <v/>
      </c>
      <c r="AC45">
        <f>HYPERLINK("https://klasma.github.io/Logging_0840/tillsyn/A 62183-2025 tillsynsbegäran.docx", "A 62183-2025")</f>
        <v/>
      </c>
      <c r="AD45">
        <f>HYPERLINK("https://klasma.github.io/Logging_0840/tillsynsmail/A 62183-2025 tillsynsbegäran mail.docx", "A 62183-2025")</f>
        <v/>
      </c>
    </row>
    <row r="46" ht="15" customHeight="1">
      <c r="A46" t="inlineStr">
        <is>
          <t>A 30492-2026</t>
        </is>
      </c>
      <c r="B46" t="inlineStr">
        <is>
          <t>avverkningsanmälan</t>
        </is>
      </c>
      <c r="C46" t="inlineStr">
        <is>
          <t>Avverkning för annat ändamål</t>
        </is>
      </c>
      <c r="D46" s="1" t="n">
        <v>46210</v>
      </c>
      <c r="E46" s="1" t="n">
        <v>46295</v>
      </c>
      <c r="F46" t="inlineStr">
        <is>
          <t>KALMAR LÄN</t>
        </is>
      </c>
      <c r="G46" t="inlineStr">
        <is>
          <t>MÖRBYLÅNGA</t>
        </is>
      </c>
      <c r="I46" t="n">
        <v>2</v>
      </c>
      <c r="J46" t="n">
        <v>0</v>
      </c>
      <c r="K46" t="n">
        <v>0</v>
      </c>
      <c r="L46" t="n">
        <v>1</v>
      </c>
      <c r="M46" t="n">
        <v>0</v>
      </c>
      <c r="N46" t="n">
        <v>0</v>
      </c>
      <c r="O46" t="n">
        <v>0</v>
      </c>
      <c r="P46" t="n">
        <v>0</v>
      </c>
      <c r="Q46" t="n">
        <v>1</v>
      </c>
      <c r="R46" t="n">
        <v>0</v>
      </c>
      <c r="S46" t="n">
        <v>1</v>
      </c>
      <c r="T46" t="n">
        <v>1</v>
      </c>
      <c r="U46" t="n">
        <v>0</v>
      </c>
      <c r="V46" s="2" t="inlineStr">
        <is>
          <t>Jordtistel</t>
        </is>
      </c>
      <c r="W46">
        <f>HYPERLINK("https://klasma.github.io/Logging_0840/artfynd/A 30492-2026 artfynd.xlsx", "A 30492-2026")</f>
        <v/>
      </c>
      <c r="X46">
        <f>HYPERLINK("https://klasma.github.io/Logging_0840/kartor/A 30492-2026 karta.png", "A 30492-2026")</f>
        <v/>
      </c>
      <c r="Y46">
        <f>HYPERLINK("https://klasma.github.io/Logging_0840/kartor_geotiff/A 30492-2026 georefererad karta.tif", "A 30492-2026")</f>
        <v/>
      </c>
      <c r="AA46">
        <f>HYPERLINK("https://klasma.github.io/Logging_0840/klagomål/A 30492-2026 FSC-klagomål.docx", "A 30492-2026")</f>
        <v/>
      </c>
      <c r="AB46">
        <f>HYPERLINK("https://klasma.github.io/Logging_0840/klagomålsmail/A 30492-2026 FSC-klagomål mail.docx", "A 30492-2026")</f>
        <v/>
      </c>
      <c r="AC46">
        <f>HYPERLINK("https://klasma.github.io/Logging_0840/tillsyn/A 30492-2026 tillsynsbegäran.docx", "A 30492-2026")</f>
        <v/>
      </c>
      <c r="AD46">
        <f>HYPERLINK("https://klasma.github.io/Logging_0840/tillsynsmail/A 30492-2026 tillsynsbegäran mail.docx", "A 30492-2026")</f>
        <v/>
      </c>
    </row>
    <row r="47" ht="15" customHeight="1">
      <c r="A47" t="inlineStr">
        <is>
          <t>A 36928-2026</t>
        </is>
      </c>
      <c r="B47" t="inlineStr">
        <is>
          <t>avverkningsanmälan</t>
        </is>
      </c>
      <c r="C47" t="inlineStr">
        <is>
          <t>Föryngringsavverkning</t>
        </is>
      </c>
      <c r="D47" s="1" t="n">
        <v>46273</v>
      </c>
      <c r="E47" s="1" t="n">
        <v>46295</v>
      </c>
      <c r="F47" t="inlineStr">
        <is>
          <t>KALMAR LÄN</t>
        </is>
      </c>
      <c r="G47" t="inlineStr">
        <is>
          <t>MÖRBYLÅNGA</t>
        </is>
      </c>
      <c r="I47" t="n">
        <v>1.3</v>
      </c>
      <c r="J47" t="n">
        <v>1</v>
      </c>
      <c r="K47" t="n">
        <v>1</v>
      </c>
      <c r="L47" t="n">
        <v>0</v>
      </c>
      <c r="M47" t="n">
        <v>0</v>
      </c>
      <c r="N47" t="n">
        <v>0</v>
      </c>
      <c r="O47" t="n">
        <v>0</v>
      </c>
      <c r="P47" t="n">
        <v>0</v>
      </c>
      <c r="Q47" t="n">
        <v>0</v>
      </c>
      <c r="R47" t="n">
        <v>0</v>
      </c>
      <c r="S47" t="n">
        <v>1</v>
      </c>
      <c r="T47" t="n">
        <v>1</v>
      </c>
      <c r="U47" t="n">
        <v>0</v>
      </c>
      <c r="V47" s="2" t="inlineStr">
        <is>
          <t>Tvåblad</t>
        </is>
      </c>
      <c r="W47">
        <f>HYPERLINK("https://klasma.github.io/Logging_0840/artfynd/A 36928-2026 artfynd.xlsx", "A 36928-2026")</f>
        <v/>
      </c>
      <c r="X47">
        <f>HYPERLINK("https://klasma.github.io/Logging_0840/kartor/A 36928-2026 karta.png", "A 36928-2026")</f>
        <v/>
      </c>
      <c r="Y47">
        <f>HYPERLINK("https://klasma.github.io/Logging_0840/kartor_geotiff/A 36928-2026 georefererad karta.tif", "A 36928-2026")</f>
        <v/>
      </c>
      <c r="AA47">
        <f>HYPERLINK("https://klasma.github.io/Logging_0840/klagomål/A 36928-2026 FSC-klagomål.docx", "A 36928-2026")</f>
        <v/>
      </c>
      <c r="AB47">
        <f>HYPERLINK("https://klasma.github.io/Logging_0840/klagomålsmail/A 36928-2026 FSC-klagomål mail.docx", "A 36928-2026")</f>
        <v/>
      </c>
      <c r="AC47">
        <f>HYPERLINK("https://klasma.github.io/Logging_0840/tillsyn/A 36928-2026 tillsynsbegäran.docx", "A 36928-2026")</f>
        <v/>
      </c>
      <c r="AD47">
        <f>HYPERLINK("https://klasma.github.io/Logging_0840/tillsynsmail/A 36928-2026 tillsynsbegäran mail.docx", "A 36928-2026")</f>
        <v/>
      </c>
    </row>
    <row r="48" ht="15" customHeight="1">
      <c r="A48" t="inlineStr">
        <is>
          <t>A 26876-2022</t>
        </is>
      </c>
      <c r="B48" t="inlineStr">
        <is>
          <t>avverkningsanmälan</t>
        </is>
      </c>
      <c r="C48" t="inlineStr">
        <is>
          <t>Avverkning för annat ändamål</t>
        </is>
      </c>
      <c r="D48" s="1" t="n">
        <v>44740</v>
      </c>
      <c r="E48" s="1" t="n">
        <v>46295</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46295</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46295</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2026-09-30T01:56:05Z</dcterms:created>
  <dcterms:modified xmlns:dcterms="http://purl.org/dc/terms/" xmlns:xsi="http://www.w3.org/2001/XMLSchema-instance" xsi:type="dcterms:W3CDTF">2026-09-30T01:56:05Z</dcterms:modified>
</cp:coreProperties>
</file>