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46221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46221</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46221</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46221</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46221</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46221</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46221</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46221</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46221</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Y15">
        <f>HYPERLINK("https://klasma.github.io/Logging_0840/klagomål/A 60875-2025 FSC-klagomål.docx", "A 60875-2025")</f>
        <v/>
      </c>
      <c r="Z15">
        <f>HYPERLINK("https://klasma.github.io/Logging_0840/klagomålsmail/A 60875-2025 FSC-klagomål mail.docx", "A 60875-2025")</f>
        <v/>
      </c>
      <c r="AA15">
        <f>HYPERLINK("https://klasma.github.io/Logging_0840/tillsyn/A 60875-2025 tillsynsbegäran.docx", "A 60875-2025")</f>
        <v/>
      </c>
      <c r="AB15">
        <f>HYPERLINK("https://klasma.github.io/Logging_0840/tillsynsmail/A 60875-2025 tillsynsbegäran mail.docx", "A 60875-2025")</f>
        <v/>
      </c>
      <c r="AC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46221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38039-2022 artfynd.xlsx", "A 38039-2022")</f>
        <v/>
      </c>
      <c r="W16">
        <f>HYPERLINK("https://klasma.github.io/Logging_0840/kartor/A 38039-2022 karta.png", "A 38039-2022")</f>
        <v/>
      </c>
      <c r="Y16">
        <f>HYPERLINK("https://klasma.github.io/Logging_0840/klagomål/A 38039-2022 FSC-klagomål.docx", "A 38039-2022")</f>
        <v/>
      </c>
      <c r="Z16">
        <f>HYPERLINK("https://klasma.github.io/Logging_0840/klagomålsmail/A 38039-2022 FSC-klagomål mail.docx", "A 38039-2022")</f>
        <v/>
      </c>
      <c r="AA16">
        <f>HYPERLINK("https://klasma.github.io/Logging_0840/tillsyn/A 38039-2022 tillsynsbegäran.docx", "A 38039-2022")</f>
        <v/>
      </c>
      <c r="AB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46221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27636-2023 artfynd.xlsx", "A 27636-2023")</f>
        <v/>
      </c>
      <c r="W17">
        <f>HYPERLINK("https://klasma.github.io/Logging_0840/kartor/A 27636-2023 karta.png", "A 27636-2023")</f>
        <v/>
      </c>
      <c r="Y17">
        <f>HYPERLINK("https://klasma.github.io/Logging_0840/klagomål/A 27636-2023 FSC-klagomål.docx", "A 27636-2023")</f>
        <v/>
      </c>
      <c r="Z17">
        <f>HYPERLINK("https://klasma.github.io/Logging_0840/klagomålsmail/A 27636-2023 FSC-klagomål mail.docx", "A 27636-2023")</f>
        <v/>
      </c>
      <c r="AA17">
        <f>HYPERLINK("https://klasma.github.io/Logging_0840/tillsyn/A 27636-2023 tillsynsbegäran.docx", "A 27636-2023")</f>
        <v/>
      </c>
      <c r="AB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46221</v>
      </c>
      <c r="F18" t="inlineStr">
        <is>
          <t>KALMAR LÄN</t>
        </is>
      </c>
      <c r="G18" t="inlineStr">
        <is>
          <t>MÖRBYLÅNGA</t>
        </is>
      </c>
      <c r="I18" t="n">
        <v>1</v>
      </c>
      <c r="J18" t="n">
        <v>1</v>
      </c>
      <c r="K18" t="n">
        <v>2</v>
      </c>
      <c r="L18" t="n">
        <v>7</v>
      </c>
      <c r="M18" t="n">
        <v>0</v>
      </c>
      <c r="N18" t="n">
        <v>1</v>
      </c>
      <c r="O18" t="n">
        <v>0</v>
      </c>
      <c r="P18" t="n">
        <v>0</v>
      </c>
      <c r="Q18" t="n">
        <v>8</v>
      </c>
      <c r="R18" t="n">
        <v>1</v>
      </c>
      <c r="S18" t="n">
        <v>11</v>
      </c>
      <c r="T18" t="n">
        <v>17</v>
      </c>
      <c r="U18" s="2" t="inlineStr">
        <is>
          <t>Tofsäxing
Backtimjan
Flentimotej
Grådådra
Poppeltofsskivling
Slåtterfibbla
Sminkrot
Solvända
Kalktallört
Murgröna
Blåsippa</t>
        </is>
      </c>
      <c r="V18">
        <f>HYPERLINK("https://klasma.github.io/Logging_0840/artfynd/A 24778-2022 artfynd.xlsx", "A 24778-2022")</f>
        <v/>
      </c>
      <c r="W18">
        <f>HYPERLINK("https://klasma.github.io/Logging_0840/kartor/A 24778-2022 karta.png", "A 24778-2022")</f>
        <v/>
      </c>
      <c r="Y18">
        <f>HYPERLINK("https://klasma.github.io/Logging_0840/klagomål/A 24778-2022 FSC-klagomål.docx", "A 24778-2022")</f>
        <v/>
      </c>
      <c r="Z18">
        <f>HYPERLINK("https://klasma.github.io/Logging_0840/klagomålsmail/A 24778-2022 FSC-klagomål mail.docx", "A 24778-2022")</f>
        <v/>
      </c>
      <c r="AA18">
        <f>HYPERLINK("https://klasma.github.io/Logging_0840/tillsyn/A 24778-2022 tillsynsbegäran.docx", "A 24778-2022")</f>
        <v/>
      </c>
      <c r="AB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46221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s="2" t="inlineStr">
        <is>
          <t>Mindre bastardsvärmare
Sexfläckig bastardsvärmare
Grönsångare
Murgröna
Tibast
Trädporella</t>
        </is>
      </c>
      <c r="V26">
        <f>HYPERLINK("https://klasma.github.io/Logging_0840/artfynd/A 43714-2025 artfynd.xlsx", "A 43714-2025")</f>
        <v/>
      </c>
      <c r="W26">
        <f>HYPERLINK("https://klasma.github.io/Logging_0840/kartor/A 43714-2025 karta.png", "A 43714-2025")</f>
        <v/>
      </c>
      <c r="Y26">
        <f>HYPERLINK("https://klasma.github.io/Logging_0840/klagomål/A 43714-2025 FSC-klagomål.docx", "A 43714-2025")</f>
        <v/>
      </c>
      <c r="Z26">
        <f>HYPERLINK("https://klasma.github.io/Logging_0840/klagomålsmail/A 43714-2025 FSC-klagomål mail.docx", "A 43714-2025")</f>
        <v/>
      </c>
      <c r="AA26">
        <f>HYPERLINK("https://klasma.github.io/Logging_0840/tillsyn/A 43714-2025 tillsynsbegäran.docx", "A 43714-2025")</f>
        <v/>
      </c>
      <c r="AB26">
        <f>HYPERLINK("https://klasma.github.io/Logging_0840/tillsynsmail/A 43714-2025 tillsynsbegäran mail.docx", "A 43714-2025")</f>
        <v/>
      </c>
      <c r="AC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46221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s="2" t="inlineStr">
        <is>
          <t>Blomkålssvamp
Långbensgroda
Större vattensalamander
Åkergroda
Mindre vattensalamander
Vanlig padda</t>
        </is>
      </c>
      <c r="V27">
        <f>HYPERLINK("https://klasma.github.io/Logging_0840/artfynd/A 43704-2025 artfynd.xlsx", "A 43704-2025")</f>
        <v/>
      </c>
      <c r="W27">
        <f>HYPERLINK("https://klasma.github.io/Logging_0840/kartor/A 43704-2025 karta.png", "A 43704-2025")</f>
        <v/>
      </c>
      <c r="Y27">
        <f>HYPERLINK("https://klasma.github.io/Logging_0840/klagomål/A 43704-2025 FSC-klagomål.docx", "A 43704-2025")</f>
        <v/>
      </c>
      <c r="Z27">
        <f>HYPERLINK("https://klasma.github.io/Logging_0840/klagomålsmail/A 43704-2025 FSC-klagomål mail.docx", "A 43704-2025")</f>
        <v/>
      </c>
      <c r="AA27">
        <f>HYPERLINK("https://klasma.github.io/Logging_0840/tillsyn/A 43704-2025 tillsynsbegäran.docx", "A 43704-2025")</f>
        <v/>
      </c>
      <c r="AB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46221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46221</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46221</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46221</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Y32">
        <f>HYPERLINK("https://klasma.github.io/Logging_0840/klagomål/A 26440-2026 FSC-klagomål.docx", "A 26440-2026")</f>
        <v/>
      </c>
      <c r="Z32">
        <f>HYPERLINK("https://klasma.github.io/Logging_0840/klagomålsmail/A 26440-2026 FSC-klagomål mail.docx", "A 26440-2026")</f>
        <v/>
      </c>
      <c r="AA32">
        <f>HYPERLINK("https://klasma.github.io/Logging_0840/tillsyn/A 26440-2026 tillsynsbegäran.docx", "A 26440-2026")</f>
        <v/>
      </c>
      <c r="AB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46221</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46221</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46221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s="2" t="inlineStr">
        <is>
          <t>Murgröna
Röd glada</t>
        </is>
      </c>
      <c r="V38">
        <f>HYPERLINK("https://klasma.github.io/Logging_0840/artfynd/A 72167-2021 artfynd.xlsx", "A 72167-2021")</f>
        <v/>
      </c>
      <c r="W38">
        <f>HYPERLINK("https://klasma.github.io/Logging_0840/kartor/A 72167-2021 karta.png", "A 72167-2021")</f>
        <v/>
      </c>
      <c r="Y38">
        <f>HYPERLINK("https://klasma.github.io/Logging_0840/klagomål/A 72167-2021 FSC-klagomål.docx", "A 72167-2021")</f>
        <v/>
      </c>
      <c r="Z38">
        <f>HYPERLINK("https://klasma.github.io/Logging_0840/klagomålsmail/A 72167-2021 FSC-klagomål mail.docx", "A 72167-2021")</f>
        <v/>
      </c>
      <c r="AA38">
        <f>HYPERLINK("https://klasma.github.io/Logging_0840/tillsyn/A 72167-2021 tillsynsbegäran.docx", "A 72167-2021")</f>
        <v/>
      </c>
      <c r="AB38">
        <f>HYPERLINK("https://klasma.github.io/Logging_0840/tillsynsmail/A 72167-2021 tillsynsbegäran mail.docx", "A 72167-2021")</f>
        <v/>
      </c>
      <c r="AC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46221</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s="2" t="inlineStr">
        <is>
          <t>Murgröna
Blåsippa</t>
        </is>
      </c>
      <c r="V39">
        <f>HYPERLINK("https://klasma.github.io/Logging_0840/artfynd/A 62231-2023 artfynd.xlsx", "A 62231-2023")</f>
        <v/>
      </c>
      <c r="W39">
        <f>HYPERLINK("https://klasma.github.io/Logging_0840/kartor/A 62231-2023 karta.png", "A 62231-2023")</f>
        <v/>
      </c>
      <c r="Y39">
        <f>HYPERLINK("https://klasma.github.io/Logging_0840/klagomål/A 62231-2023 FSC-klagomål.docx", "A 62231-2023")</f>
        <v/>
      </c>
      <c r="Z39">
        <f>HYPERLINK("https://klasma.github.io/Logging_0840/klagomålsmail/A 62231-2023 FSC-klagomål mail.docx", "A 62231-2023")</f>
        <v/>
      </c>
      <c r="AA39">
        <f>HYPERLINK("https://klasma.github.io/Logging_0840/tillsyn/A 62231-2023 tillsynsbegäran.docx", "A 62231-2023")</f>
        <v/>
      </c>
      <c r="AB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46221</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46221</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Y41">
        <f>HYPERLINK("https://klasma.github.io/Logging_0840/klagomål/A 13040-2024 FSC-klagomål.docx", "A 13040-2024")</f>
        <v/>
      </c>
      <c r="Z41">
        <f>HYPERLINK("https://klasma.github.io/Logging_0840/klagomålsmail/A 13040-2024 FSC-klagomål mail.docx", "A 13040-2024")</f>
        <v/>
      </c>
      <c r="AA41">
        <f>HYPERLINK("https://klasma.github.io/Logging_0840/tillsyn/A 13040-2024 tillsynsbegäran.docx", "A 13040-2024")</f>
        <v/>
      </c>
      <c r="AB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46221</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Y42">
        <f>HYPERLINK("https://klasma.github.io/Logging_0840/klagomål/A 13384-2023 FSC-klagomål.docx", "A 13384-2023")</f>
        <v/>
      </c>
      <c r="Z42">
        <f>HYPERLINK("https://klasma.github.io/Logging_0840/klagomålsmail/A 13384-2023 FSC-klagomål mail.docx", "A 13384-2023")</f>
        <v/>
      </c>
      <c r="AA42">
        <f>HYPERLINK("https://klasma.github.io/Logging_0840/tillsyn/A 13384-2023 tillsynsbegäran.docx", "A 13384-2023")</f>
        <v/>
      </c>
      <c r="AB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46221</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s="2" t="inlineStr">
        <is>
          <t>Kösa</t>
        </is>
      </c>
      <c r="V43">
        <f>HYPERLINK("https://klasma.github.io/Logging_0840/artfynd/A 62183-2025 artfynd.xlsx", "A 62183-2025")</f>
        <v/>
      </c>
      <c r="W43">
        <f>HYPERLINK("https://klasma.github.io/Logging_0840/kartor/A 62183-2025 karta.png", "A 62183-2025")</f>
        <v/>
      </c>
      <c r="Y43">
        <f>HYPERLINK("https://klasma.github.io/Logging_0840/klagomål/A 62183-2025 FSC-klagomål.docx", "A 62183-2025")</f>
        <v/>
      </c>
      <c r="Z43">
        <f>HYPERLINK("https://klasma.github.io/Logging_0840/klagomålsmail/A 62183-2025 FSC-klagomål mail.docx", "A 62183-2025")</f>
        <v/>
      </c>
      <c r="AA43">
        <f>HYPERLINK("https://klasma.github.io/Logging_0840/tillsyn/A 62183-2025 tillsynsbegäran.docx", "A 62183-2025")</f>
        <v/>
      </c>
      <c r="AB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46221</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s="2" t="inlineStr">
        <is>
          <t>Jordtistel</t>
        </is>
      </c>
      <c r="V44">
        <f>HYPERLINK("https://klasma.github.io/Logging_0840/artfynd/A 30492-2026 artfynd.xlsx", "A 30492-2026")</f>
        <v/>
      </c>
      <c r="W44">
        <f>HYPERLINK("https://klasma.github.io/Logging_0840/kartor/A 30492-2026 karta.png", "A 30492-2026")</f>
        <v/>
      </c>
      <c r="Y44">
        <f>HYPERLINK("https://klasma.github.io/Logging_0840/klagomål/A 30492-2026 FSC-klagomål.docx", "A 30492-2026")</f>
        <v/>
      </c>
      <c r="Z44">
        <f>HYPERLINK("https://klasma.github.io/Logging_0840/klagomålsmail/A 30492-2026 FSC-klagomål mail.docx", "A 30492-2026")</f>
        <v/>
      </c>
      <c r="AA44">
        <f>HYPERLINK("https://klasma.github.io/Logging_0840/tillsyn/A 30492-2026 tillsynsbegäran.docx", "A 30492-2026")</f>
        <v/>
      </c>
      <c r="AB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46221</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s="2" t="inlineStr">
        <is>
          <t>Sårläka</t>
        </is>
      </c>
      <c r="V45">
        <f>HYPERLINK("https://klasma.github.io/Logging_0840/artfynd/A 24698-2023 artfynd.xlsx", "A 24698-2023")</f>
        <v/>
      </c>
      <c r="W45">
        <f>HYPERLINK("https://klasma.github.io/Logging_0840/kartor/A 24698-2023 karta.png", "A 24698-2023")</f>
        <v/>
      </c>
      <c r="Y45">
        <f>HYPERLINK("https://klasma.github.io/Logging_0840/klagomål/A 24698-2023 FSC-klagomål.docx", "A 24698-2023")</f>
        <v/>
      </c>
      <c r="Z45">
        <f>HYPERLINK("https://klasma.github.io/Logging_0840/klagomålsmail/A 24698-2023 FSC-klagomål mail.docx", "A 24698-2023")</f>
        <v/>
      </c>
      <c r="AA45">
        <f>HYPERLINK("https://klasma.github.io/Logging_0840/tillsyn/A 24698-2023 tillsynsbegäran.docx", "A 24698-2023")</f>
        <v/>
      </c>
      <c r="AB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46221</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46221</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46221</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2026-07-18T01:19:13Z</dcterms:created>
  <dcterms:modified xmlns:dcterms="http://purl.org/dc/terms/" xmlns:xsi="http://www.w3.org/2001/XMLSchema-instance" xsi:type="dcterms:W3CDTF">2026-07-18T01:19:13Z</dcterms:modified>
</cp:coreProperties>
</file>