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46158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46158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46158</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46158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46158</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46158</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46158</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60875-2025</t>
        </is>
      </c>
      <c r="B9" s="1" t="n">
        <v>45999.55524305555</v>
      </c>
      <c r="C9" s="1" t="n">
        <v>46158</v>
      </c>
      <c r="D9" t="inlineStr">
        <is>
          <t>KALMAR LÄN</t>
        </is>
      </c>
      <c r="E9" t="inlineStr">
        <is>
          <t>MÖRBYLÅNGA</t>
        </is>
      </c>
      <c r="G9" t="n">
        <v>2.1</v>
      </c>
      <c r="H9" t="n">
        <v>5</v>
      </c>
      <c r="I9" t="n">
        <v>0</v>
      </c>
      <c r="J9" t="n">
        <v>6</v>
      </c>
      <c r="K9" t="n">
        <v>0</v>
      </c>
      <c r="L9" t="n">
        <v>0</v>
      </c>
      <c r="M9" t="n">
        <v>0</v>
      </c>
      <c r="N9" t="n">
        <v>0</v>
      </c>
      <c r="O9" t="n">
        <v>6</v>
      </c>
      <c r="P9" t="n">
        <v>0</v>
      </c>
      <c r="Q9" t="n">
        <v>6</v>
      </c>
      <c r="R9" s="2" t="inlineStr">
        <is>
          <t>Grönsångare
Gulsparv
Kråka
Mindre hackspett
Spillkråka
Svinrot</t>
        </is>
      </c>
      <c r="S9">
        <f>HYPERLINK("https://klasma.github.io/Logging_0840/artfynd/A 60875-2025 artfynd.xlsx", "A 60875-2025")</f>
        <v/>
      </c>
      <c r="T9">
        <f>HYPERLINK("https://klasma.github.io/Logging_0840/kartor/A 60875-2025 karta.png", "A 60875-2025")</f>
        <v/>
      </c>
      <c r="V9">
        <f>HYPERLINK("https://klasma.github.io/Logging_0840/klagomål/A 60875-2025 FSC-klagomål.docx", "A 60875-2025")</f>
        <v/>
      </c>
      <c r="W9">
        <f>HYPERLINK("https://klasma.github.io/Logging_0840/klagomålsmail/A 60875-2025 FSC-klagomål mail.docx", "A 60875-2025")</f>
        <v/>
      </c>
      <c r="X9">
        <f>HYPERLINK("https://klasma.github.io/Logging_0840/tillsyn/A 60875-2025 tillsynsbegäran.docx", "A 60875-2025")</f>
        <v/>
      </c>
      <c r="Y9">
        <f>HYPERLINK("https://klasma.github.io/Logging_0840/tillsynsmail/A 60875-2025 tillsynsbegäran mail.docx", "A 60875-2025")</f>
        <v/>
      </c>
      <c r="Z9">
        <f>HYPERLINK("https://klasma.github.io/Logging_0840/fåglar/A 60875-2025 prioriterade fågelarter.docx", "A 60875-2025")</f>
        <v/>
      </c>
    </row>
    <row r="10" ht="15" customHeight="1">
      <c r="A10" t="inlineStr">
        <is>
          <t>A 24778-2022</t>
        </is>
      </c>
      <c r="B10" s="1" t="n">
        <v>44728</v>
      </c>
      <c r="C10" s="1" t="n">
        <v>46158</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27636-2023</t>
        </is>
      </c>
      <c r="B11" s="1" t="n">
        <v>45097</v>
      </c>
      <c r="C11" s="1" t="n">
        <v>46158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38039-2022</t>
        </is>
      </c>
      <c r="B12" s="1" t="n">
        <v>44811</v>
      </c>
      <c r="C12" s="1" t="n">
        <v>46158</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39320-2024</t>
        </is>
      </c>
      <c r="B13" s="1" t="n">
        <v>45551</v>
      </c>
      <c r="C13" s="1" t="n">
        <v>46158</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43714-2025</t>
        </is>
      </c>
      <c r="B14" s="1" t="n">
        <v>45912.40814814815</v>
      </c>
      <c r="C14" s="1" t="n">
        <v>46158</v>
      </c>
      <c r="D14" t="inlineStr">
        <is>
          <t>KALMAR LÄN</t>
        </is>
      </c>
      <c r="E14" t="inlineStr">
        <is>
          <t>MÖRBYLÅNGA</t>
        </is>
      </c>
      <c r="G14" t="n">
        <v>7.9</v>
      </c>
      <c r="H14" t="n">
        <v>1</v>
      </c>
      <c r="I14" t="n">
        <v>1</v>
      </c>
      <c r="J14" t="n">
        <v>4</v>
      </c>
      <c r="K14" t="n">
        <v>0</v>
      </c>
      <c r="L14" t="n">
        <v>0</v>
      </c>
      <c r="M14" t="n">
        <v>0</v>
      </c>
      <c r="N14" t="n">
        <v>0</v>
      </c>
      <c r="O14" t="n">
        <v>4</v>
      </c>
      <c r="P14" t="n">
        <v>0</v>
      </c>
      <c r="Q14" t="n">
        <v>5</v>
      </c>
      <c r="R14" s="2" t="inlineStr">
        <is>
          <t>Alvarsandbi
Grönsångare
Mindre bastardsvärmare
Sexfläckig bastardsvärmare
Tibast</t>
        </is>
      </c>
      <c r="S14">
        <f>HYPERLINK("https://klasma.github.io/Logging_0840/artfynd/A 43714-2025 artfynd.xlsx", "A 43714-2025")</f>
        <v/>
      </c>
      <c r="T14">
        <f>HYPERLINK("https://klasma.github.io/Logging_0840/kartor/A 43714-2025 karta.png", "A 43714-2025")</f>
        <v/>
      </c>
      <c r="V14">
        <f>HYPERLINK("https://klasma.github.io/Logging_0840/klagomål/A 43714-2025 FSC-klagomål.docx", "A 43714-2025")</f>
        <v/>
      </c>
      <c r="W14">
        <f>HYPERLINK("https://klasma.github.io/Logging_0840/klagomålsmail/A 43714-2025 FSC-klagomål mail.docx", "A 43714-2025")</f>
        <v/>
      </c>
      <c r="X14">
        <f>HYPERLINK("https://klasma.github.io/Logging_0840/tillsyn/A 43714-2025 tillsynsbegäran.docx", "A 43714-2025")</f>
        <v/>
      </c>
      <c r="Y14">
        <f>HYPERLINK("https://klasma.github.io/Logging_0840/tillsynsmail/A 43714-2025 tillsynsbegäran mail.docx", "A 43714-2025")</f>
        <v/>
      </c>
      <c r="Z14">
        <f>HYPERLINK("https://klasma.github.io/Logging_0840/fåglar/A 43714-2025 prioriterade fågelarter.docx", "A 43714-2025")</f>
        <v/>
      </c>
    </row>
    <row r="15" ht="15" customHeight="1">
      <c r="A15" t="inlineStr">
        <is>
          <t>A 2864-2026</t>
        </is>
      </c>
      <c r="B15" s="1" t="n">
        <v>46038</v>
      </c>
      <c r="C15" s="1" t="n">
        <v>46158</v>
      </c>
      <c r="D15" t="inlineStr">
        <is>
          <t>KALMAR LÄN</t>
        </is>
      </c>
      <c r="E15" t="inlineStr">
        <is>
          <t>MÖRBYLÅNGA</t>
        </is>
      </c>
      <c r="G15" t="n">
        <v>1</v>
      </c>
      <c r="H15" t="n">
        <v>3</v>
      </c>
      <c r="I15" t="n">
        <v>1</v>
      </c>
      <c r="J15" t="n">
        <v>1</v>
      </c>
      <c r="K15" t="n">
        <v>0</v>
      </c>
      <c r="L15" t="n">
        <v>0</v>
      </c>
      <c r="M15" t="n">
        <v>0</v>
      </c>
      <c r="N15" t="n">
        <v>0</v>
      </c>
      <c r="O15" t="n">
        <v>1</v>
      </c>
      <c r="P15" t="n">
        <v>0</v>
      </c>
      <c r="Q15" t="n">
        <v>4</v>
      </c>
      <c r="R15" s="2" t="inlineStr">
        <is>
          <t>Spillkråka
Mindre märgborre
Röd glada
Blåsippa</t>
        </is>
      </c>
      <c r="S15">
        <f>HYPERLINK("https://klasma.github.io/Logging_0840/artfynd/A 2864-2026 artfynd.xlsx", "A 2864-2026")</f>
        <v/>
      </c>
      <c r="T15">
        <f>HYPERLINK("https://klasma.github.io/Logging_0840/kartor/A 2864-2026 karta.png", "A 2864-2026")</f>
        <v/>
      </c>
      <c r="V15">
        <f>HYPERLINK("https://klasma.github.io/Logging_0840/klagomål/A 2864-2026 FSC-klagomål.docx", "A 2864-2026")</f>
        <v/>
      </c>
      <c r="W15">
        <f>HYPERLINK("https://klasma.github.io/Logging_0840/klagomålsmail/A 2864-2026 FSC-klagomål mail.docx", "A 2864-2026")</f>
        <v/>
      </c>
      <c r="X15">
        <f>HYPERLINK("https://klasma.github.io/Logging_0840/tillsyn/A 2864-2026 tillsynsbegäran.docx", "A 2864-2026")</f>
        <v/>
      </c>
      <c r="Y15">
        <f>HYPERLINK("https://klasma.github.io/Logging_0840/tillsynsmail/A 2864-2026 tillsynsbegäran mail.docx", "A 2864-2026")</f>
        <v/>
      </c>
      <c r="Z15">
        <f>HYPERLINK("https://klasma.github.io/Logging_0840/fåglar/A 2864-2026 prioriterade fågelarter.docx", "A 2864-2026")</f>
        <v/>
      </c>
    </row>
    <row r="16" ht="15" customHeight="1">
      <c r="A16" t="inlineStr">
        <is>
          <t>A 61963-2025</t>
        </is>
      </c>
      <c r="B16" s="1" t="n">
        <v>46003</v>
      </c>
      <c r="C16" s="1" t="n">
        <v>46158</v>
      </c>
      <c r="D16" t="inlineStr">
        <is>
          <t>KALMAR LÄN</t>
        </is>
      </c>
      <c r="E16" t="inlineStr">
        <is>
          <t>MÖRBYLÅNGA</t>
        </is>
      </c>
      <c r="G16" t="n">
        <v>1.1</v>
      </c>
      <c r="H16" t="n">
        <v>3</v>
      </c>
      <c r="I16" t="n">
        <v>1</v>
      </c>
      <c r="J16" t="n">
        <v>1</v>
      </c>
      <c r="K16" t="n">
        <v>0</v>
      </c>
      <c r="L16" t="n">
        <v>0</v>
      </c>
      <c r="M16" t="n">
        <v>0</v>
      </c>
      <c r="N16" t="n">
        <v>0</v>
      </c>
      <c r="O16" t="n">
        <v>1</v>
      </c>
      <c r="P16" t="n">
        <v>0</v>
      </c>
      <c r="Q16" t="n">
        <v>4</v>
      </c>
      <c r="R16" s="2" t="inlineStr">
        <is>
          <t>Spillkråka
Mindre märgborre
Röd glada
Blåsippa</t>
        </is>
      </c>
      <c r="S16">
        <f>HYPERLINK("https://klasma.github.io/Logging_0840/artfynd/A 61963-2025 artfynd.xlsx", "A 61963-2025")</f>
        <v/>
      </c>
      <c r="T16">
        <f>HYPERLINK("https://klasma.github.io/Logging_0840/kartor/A 61963-2025 karta.png", "A 61963-2025")</f>
        <v/>
      </c>
      <c r="V16">
        <f>HYPERLINK("https://klasma.github.io/Logging_0840/klagomål/A 61963-2025 FSC-klagomål.docx", "A 61963-2025")</f>
        <v/>
      </c>
      <c r="W16">
        <f>HYPERLINK("https://klasma.github.io/Logging_0840/klagomålsmail/A 61963-2025 FSC-klagomål mail.docx", "A 61963-2025")</f>
        <v/>
      </c>
      <c r="X16">
        <f>HYPERLINK("https://klasma.github.io/Logging_0840/tillsyn/A 61963-2025 tillsynsbegäran.docx", "A 61963-2025")</f>
        <v/>
      </c>
      <c r="Y16">
        <f>HYPERLINK("https://klasma.github.io/Logging_0840/tillsynsmail/A 61963-2025 tillsynsbegäran mail.docx", "A 61963-2025")</f>
        <v/>
      </c>
      <c r="Z16">
        <f>HYPERLINK("https://klasma.github.io/Logging_0840/fåglar/A 61963-2025 prioriterade fågelarter.docx", "A 61963-2025")</f>
        <v/>
      </c>
    </row>
    <row r="17" ht="15" customHeight="1">
      <c r="A17" t="inlineStr">
        <is>
          <t>A 54167-2024</t>
        </is>
      </c>
      <c r="B17" s="1" t="n">
        <v>45616.62196759259</v>
      </c>
      <c r="C17" s="1" t="n">
        <v>46158</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46158</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46158</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46158</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62231-2023</t>
        </is>
      </c>
      <c r="B21" s="1" t="n">
        <v>45267</v>
      </c>
      <c r="C21" s="1" t="n">
        <v>46158</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40361-2023</t>
        </is>
      </c>
      <c r="B22" s="1" t="n">
        <v>45169</v>
      </c>
      <c r="C22" s="1" t="n">
        <v>46158</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54192-2021</t>
        </is>
      </c>
      <c r="B23" s="1" t="n">
        <v>44470</v>
      </c>
      <c r="C23" s="1" t="n">
        <v>46158</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46158</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46158</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46158</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46158</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46158</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46158</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46158</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46158</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5733-2026</t>
        </is>
      </c>
      <c r="B32" s="1" t="n">
        <v>46051.5745949074</v>
      </c>
      <c r="C32" s="1" t="n">
        <v>46158</v>
      </c>
      <c r="D32" t="inlineStr">
        <is>
          <t>KALMAR LÄN</t>
        </is>
      </c>
      <c r="E32" t="inlineStr">
        <is>
          <t>MÖRBYLÅNGA</t>
        </is>
      </c>
      <c r="G32" t="n">
        <v>1.1</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46158</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46158</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46158</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62183-2025</t>
        </is>
      </c>
      <c r="B36" s="1" t="n">
        <v>46006.5356712963</v>
      </c>
      <c r="C36" s="1" t="n">
        <v>46158</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2026-05-16T12:13:28Z</dcterms:created>
  <dcterms:modified xmlns:dcterms="http://purl.org/dc/terms/" xmlns:xsi="http://www.w3.org/2001/XMLSchema-instance" xsi:type="dcterms:W3CDTF">2026-05-16T12:13:28Z</dcterms:modified>
</cp:coreProperties>
</file>