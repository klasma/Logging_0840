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46100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46100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27865-2024</t>
        </is>
      </c>
      <c r="B4" s="1" t="n">
        <v>45475.67303240741</v>
      </c>
      <c r="C4" s="1" t="n">
        <v>46100</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agg.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21219-2023</t>
        </is>
      </c>
      <c r="B5" s="1" t="n">
        <v>45062</v>
      </c>
      <c r="C5" s="1" t="n">
        <v>46100</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21214-2023</t>
        </is>
      </c>
      <c r="B6" s="1" t="n">
        <v>45062</v>
      </c>
      <c r="C6" s="1" t="n">
        <v>46100</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46100</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46100</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27636-2023</t>
        </is>
      </c>
      <c r="B9" s="1" t="n">
        <v>45097</v>
      </c>
      <c r="C9" s="1" t="n">
        <v>46100</v>
      </c>
      <c r="D9" t="inlineStr">
        <is>
          <t>KALMAR LÄN</t>
        </is>
      </c>
      <c r="E9" t="inlineStr">
        <is>
          <t>MÖRBYLÅNGA</t>
        </is>
      </c>
      <c r="G9" t="n">
        <v>7.4</v>
      </c>
      <c r="H9" t="n">
        <v>2</v>
      </c>
      <c r="I9" t="n">
        <v>1</v>
      </c>
      <c r="J9" t="n">
        <v>2</v>
      </c>
      <c r="K9" t="n">
        <v>0</v>
      </c>
      <c r="L9" t="n">
        <v>1</v>
      </c>
      <c r="M9" t="n">
        <v>0</v>
      </c>
      <c r="N9" t="n">
        <v>0</v>
      </c>
      <c r="O9" t="n">
        <v>3</v>
      </c>
      <c r="P9" t="n">
        <v>1</v>
      </c>
      <c r="Q9" t="n">
        <v>6</v>
      </c>
      <c r="R9" s="2" t="inlineStr">
        <is>
          <t>Ask
Backtimjan
Solvända
Murgröna
Alvarmalört
Gullviva</t>
        </is>
      </c>
      <c r="S9">
        <f>HYPERLINK("https://klasma.github.io/Logging_0840/artfynd/A 27636-2023 artfynd.xlsx", "A 27636-2023")</f>
        <v/>
      </c>
      <c r="T9">
        <f>HYPERLINK("https://klasma.github.io/Logging_0840/kartor/A 27636-2023 karta.png", "A 27636-2023")</f>
        <v/>
      </c>
      <c r="V9">
        <f>HYPERLINK("https://klasma.github.io/Logging_0840/klagomål/A 27636-2023 FSC-klagomål.docx", "A 27636-2023")</f>
        <v/>
      </c>
      <c r="W9">
        <f>HYPERLINK("https://klasma.github.io/Logging_0840/klagomålsmail/A 27636-2023 FSC-klagomål mail.docx", "A 27636-2023")</f>
        <v/>
      </c>
      <c r="X9">
        <f>HYPERLINK("https://klasma.github.io/Logging_0840/tillsyn/A 27636-2023 tillsynsbegäran.docx", "A 27636-2023")</f>
        <v/>
      </c>
      <c r="Y9">
        <f>HYPERLINK("https://klasma.github.io/Logging_0840/tillsynsmail/A 27636-2023 tillsynsbegäran mail.docx", "A 27636-2023")</f>
        <v/>
      </c>
    </row>
    <row r="10" ht="15" customHeight="1">
      <c r="A10" t="inlineStr">
        <is>
          <t>A 24778-2022</t>
        </is>
      </c>
      <c r="B10" s="1" t="n">
        <v>44728</v>
      </c>
      <c r="C10" s="1" t="n">
        <v>46100</v>
      </c>
      <c r="D10" t="inlineStr">
        <is>
          <t>KALMAR LÄN</t>
        </is>
      </c>
      <c r="E10" t="inlineStr">
        <is>
          <t>MÖRBYLÅNGA</t>
        </is>
      </c>
      <c r="G10" t="n">
        <v>1</v>
      </c>
      <c r="H10" t="n">
        <v>0</v>
      </c>
      <c r="I10" t="n">
        <v>2</v>
      </c>
      <c r="J10" t="n">
        <v>3</v>
      </c>
      <c r="K10" t="n">
        <v>0</v>
      </c>
      <c r="L10" t="n">
        <v>1</v>
      </c>
      <c r="M10" t="n">
        <v>0</v>
      </c>
      <c r="N10" t="n">
        <v>0</v>
      </c>
      <c r="O10" t="n">
        <v>4</v>
      </c>
      <c r="P10" t="n">
        <v>1</v>
      </c>
      <c r="Q10" t="n">
        <v>6</v>
      </c>
      <c r="R10" s="2" t="inlineStr">
        <is>
          <t>Tofsäxing
Flentimotej
Poppeltofsskivling
Slåtterfibbla
Kalktallört
Murgröna</t>
        </is>
      </c>
      <c r="S10">
        <f>HYPERLINK("https://klasma.github.io/Logging_0840/artfynd/A 24778-2022 artfynd.xlsx", "A 24778-2022")</f>
        <v/>
      </c>
      <c r="T10">
        <f>HYPERLINK("https://klasma.github.io/Logging_0840/kartor/A 24778-2022 karta.png", "A 24778-2022")</f>
        <v/>
      </c>
      <c r="V10">
        <f>HYPERLINK("https://klasma.github.io/Logging_0840/klagomål/A 24778-2022 FSC-klagomål.docx", "A 24778-2022")</f>
        <v/>
      </c>
      <c r="W10">
        <f>HYPERLINK("https://klasma.github.io/Logging_0840/klagomålsmail/A 24778-2022 FSC-klagomål mail.docx", "A 24778-2022")</f>
        <v/>
      </c>
      <c r="X10">
        <f>HYPERLINK("https://klasma.github.io/Logging_0840/tillsyn/A 24778-2022 tillsynsbegäran.docx", "A 24778-2022")</f>
        <v/>
      </c>
      <c r="Y10">
        <f>HYPERLINK("https://klasma.github.io/Logging_0840/tillsynsmail/A 24778-2022 tillsynsbegäran mail.docx", "A 24778-2022")</f>
        <v/>
      </c>
    </row>
    <row r="11" ht="15" customHeight="1">
      <c r="A11" t="inlineStr">
        <is>
          <t>A 38039-2022</t>
        </is>
      </c>
      <c r="B11" s="1" t="n">
        <v>44811</v>
      </c>
      <c r="C11" s="1" t="n">
        <v>46100</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38039-2022 artfynd.xlsx", "A 38039-2022")</f>
        <v/>
      </c>
      <c r="T11">
        <f>HYPERLINK("https://klasma.github.io/Logging_0840/kartor/A 38039-2022 karta.png", "A 38039-2022")</f>
        <v/>
      </c>
      <c r="V11">
        <f>HYPERLINK("https://klasma.github.io/Logging_0840/klagomål/A 38039-2022 FSC-klagomål.docx", "A 38039-2022")</f>
        <v/>
      </c>
      <c r="W11">
        <f>HYPERLINK("https://klasma.github.io/Logging_0840/klagomålsmail/A 38039-2022 FSC-klagomål mail.docx", "A 38039-2022")</f>
        <v/>
      </c>
      <c r="X11">
        <f>HYPERLINK("https://klasma.github.io/Logging_0840/tillsyn/A 38039-2022 tillsynsbegäran.docx", "A 38039-2022")</f>
        <v/>
      </c>
      <c r="Y11">
        <f>HYPERLINK("https://klasma.github.io/Logging_0840/tillsynsmail/A 38039-2022 tillsynsbegäran mail.docx", "A 38039-2022")</f>
        <v/>
      </c>
    </row>
    <row r="12" ht="15" customHeight="1">
      <c r="A12" t="inlineStr">
        <is>
          <t>A 39320-2024</t>
        </is>
      </c>
      <c r="B12" s="1" t="n">
        <v>45551</v>
      </c>
      <c r="C12" s="1" t="n">
        <v>46100</v>
      </c>
      <c r="D12" t="inlineStr">
        <is>
          <t>KALMAR LÄN</t>
        </is>
      </c>
      <c r="E12" t="inlineStr">
        <is>
          <t>MÖRBYLÅNGA</t>
        </is>
      </c>
      <c r="G12" t="n">
        <v>3.3</v>
      </c>
      <c r="H12" t="n">
        <v>1</v>
      </c>
      <c r="I12" t="n">
        <v>2</v>
      </c>
      <c r="J12" t="n">
        <v>1</v>
      </c>
      <c r="K12" t="n">
        <v>1</v>
      </c>
      <c r="L12" t="n">
        <v>0</v>
      </c>
      <c r="M12" t="n">
        <v>0</v>
      </c>
      <c r="N12" t="n">
        <v>0</v>
      </c>
      <c r="O12" t="n">
        <v>2</v>
      </c>
      <c r="P12" t="n">
        <v>1</v>
      </c>
      <c r="Q12" t="n">
        <v>5</v>
      </c>
      <c r="R12" s="2" t="inlineStr">
        <is>
          <t>Toppjungfrulin
Korskovall
Underviol
Vårärt
Skogsduva</t>
        </is>
      </c>
      <c r="S12">
        <f>HYPERLINK("https://klasma.github.io/Logging_0840/artfynd/A 39320-2024 artfynd.xlsx", "A 39320-2024")</f>
        <v/>
      </c>
      <c r="T12">
        <f>HYPERLINK("https://klasma.github.io/Logging_0840/kartor/A 39320-2024 karta.png", "A 39320-2024")</f>
        <v/>
      </c>
      <c r="V12">
        <f>HYPERLINK("https://klasma.github.io/Logging_0840/klagomål/A 39320-2024 FSC-klagomål.docx", "A 39320-2024")</f>
        <v/>
      </c>
      <c r="W12">
        <f>HYPERLINK("https://klasma.github.io/Logging_0840/klagomålsmail/A 39320-2024 FSC-klagomål mail.docx", "A 39320-2024")</f>
        <v/>
      </c>
      <c r="X12">
        <f>HYPERLINK("https://klasma.github.io/Logging_0840/tillsyn/A 39320-2024 tillsynsbegäran.docx", "A 39320-2024")</f>
        <v/>
      </c>
      <c r="Y12">
        <f>HYPERLINK("https://klasma.github.io/Logging_0840/tillsynsmail/A 39320-2024 tillsynsbegäran mail.docx", "A 39320-2024")</f>
        <v/>
      </c>
      <c r="Z12">
        <f>HYPERLINK("https://klasma.github.io/Logging_0840/fåglar/A 39320-2024 prioriterade fågelarter.docx", "A 39320-2024")</f>
        <v/>
      </c>
    </row>
    <row r="13" ht="15" customHeight="1">
      <c r="A13" t="inlineStr">
        <is>
          <t>A 43714-2025</t>
        </is>
      </c>
      <c r="B13" s="1" t="n">
        <v>45912.40814814815</v>
      </c>
      <c r="C13" s="1" t="n">
        <v>46100</v>
      </c>
      <c r="D13" t="inlineStr">
        <is>
          <t>KALMAR LÄN</t>
        </is>
      </c>
      <c r="E13" t="inlineStr">
        <is>
          <t>MÖRBYLÅNGA</t>
        </is>
      </c>
      <c r="G13" t="n">
        <v>7.9</v>
      </c>
      <c r="H13" t="n">
        <v>1</v>
      </c>
      <c r="I13" t="n">
        <v>1</v>
      </c>
      <c r="J13" t="n">
        <v>4</v>
      </c>
      <c r="K13" t="n">
        <v>0</v>
      </c>
      <c r="L13" t="n">
        <v>0</v>
      </c>
      <c r="M13" t="n">
        <v>0</v>
      </c>
      <c r="N13" t="n">
        <v>0</v>
      </c>
      <c r="O13" t="n">
        <v>4</v>
      </c>
      <c r="P13" t="n">
        <v>0</v>
      </c>
      <c r="Q13" t="n">
        <v>5</v>
      </c>
      <c r="R13" s="2" t="inlineStr">
        <is>
          <t>Alvarsandbi
Grönsångare
Mindre bastardsvärmare
Sexfläckig bastardsvärmare
Tibast</t>
        </is>
      </c>
      <c r="S13">
        <f>HYPERLINK("https://klasma.github.io/Logging_0840/artfynd/A 43714-2025 artfynd.xlsx", "A 43714-2025")</f>
        <v/>
      </c>
      <c r="T13">
        <f>HYPERLINK("https://klasma.github.io/Logging_0840/kartor/A 43714-2025 karta.png", "A 43714-2025")</f>
        <v/>
      </c>
      <c r="V13">
        <f>HYPERLINK("https://klasma.github.io/Logging_0840/klagomål/A 43714-2025 FSC-klagomål.docx", "A 43714-2025")</f>
        <v/>
      </c>
      <c r="W13">
        <f>HYPERLINK("https://klasma.github.io/Logging_0840/klagomålsmail/A 43714-2025 FSC-klagomål mail.docx", "A 43714-2025")</f>
        <v/>
      </c>
      <c r="X13">
        <f>HYPERLINK("https://klasma.github.io/Logging_0840/tillsyn/A 43714-2025 tillsynsbegäran.docx", "A 43714-2025")</f>
        <v/>
      </c>
      <c r="Y13">
        <f>HYPERLINK("https://klasma.github.io/Logging_0840/tillsynsmail/A 43714-2025 tillsynsbegäran mail.docx", "A 43714-2025")</f>
        <v/>
      </c>
      <c r="Z13">
        <f>HYPERLINK("https://klasma.github.io/Logging_0840/fåglar/A 43714-2025 prioriterade fågelarter.docx", "A 43714-2025")</f>
        <v/>
      </c>
    </row>
    <row r="14" ht="15" customHeight="1">
      <c r="A14" t="inlineStr">
        <is>
          <t>A 54167-2024</t>
        </is>
      </c>
      <c r="B14" s="1" t="n">
        <v>45616.62196759259</v>
      </c>
      <c r="C14" s="1" t="n">
        <v>46100</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46100</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46100</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46100</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46100</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46100</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40361-2023</t>
        </is>
      </c>
      <c r="B20" s="1" t="n">
        <v>45169</v>
      </c>
      <c r="C20" s="1" t="n">
        <v>46100</v>
      </c>
      <c r="D20" t="inlineStr">
        <is>
          <t>KALMAR LÄN</t>
        </is>
      </c>
      <c r="E20" t="inlineStr">
        <is>
          <t>MÖRBYLÅNGA</t>
        </is>
      </c>
      <c r="G20" t="n">
        <v>1.1</v>
      </c>
      <c r="H20" t="n">
        <v>0</v>
      </c>
      <c r="I20" t="n">
        <v>0</v>
      </c>
      <c r="J20" t="n">
        <v>1</v>
      </c>
      <c r="K20" t="n">
        <v>0</v>
      </c>
      <c r="L20" t="n">
        <v>0</v>
      </c>
      <c r="M20" t="n">
        <v>1</v>
      </c>
      <c r="N20" t="n">
        <v>0</v>
      </c>
      <c r="O20" t="n">
        <v>2</v>
      </c>
      <c r="P20" t="n">
        <v>1</v>
      </c>
      <c r="Q20" t="n">
        <v>2</v>
      </c>
      <c r="R20" s="2" t="inlineStr">
        <is>
          <t>Lundalm
Ängsskära</t>
        </is>
      </c>
      <c r="S20">
        <f>HYPERLINK("https://klasma.github.io/Logging_0840/artfynd/A 40361-2023 artfynd.xlsx", "A 40361-2023")</f>
        <v/>
      </c>
      <c r="T20">
        <f>HYPERLINK("https://klasma.github.io/Logging_0840/kartor/A 40361-2023 karta.png", "A 40361-2023")</f>
        <v/>
      </c>
      <c r="V20">
        <f>HYPERLINK("https://klasma.github.io/Logging_0840/klagomål/A 40361-2023 FSC-klagomål.docx", "A 40361-2023")</f>
        <v/>
      </c>
      <c r="W20">
        <f>HYPERLINK("https://klasma.github.io/Logging_0840/klagomålsmail/A 40361-2023 FSC-klagomål mail.docx", "A 40361-2023")</f>
        <v/>
      </c>
      <c r="X20">
        <f>HYPERLINK("https://klasma.github.io/Logging_0840/tillsyn/A 40361-2023 tillsynsbegäran.docx", "A 40361-2023")</f>
        <v/>
      </c>
      <c r="Y20">
        <f>HYPERLINK("https://klasma.github.io/Logging_0840/tillsynsmail/A 40361-2023 tillsynsbegäran mail.docx", "A 40361-2023")</f>
        <v/>
      </c>
    </row>
    <row r="21" ht="15" customHeight="1">
      <c r="A21" t="inlineStr">
        <is>
          <t>A 62231-2023</t>
        </is>
      </c>
      <c r="B21" s="1" t="n">
        <v>45267</v>
      </c>
      <c r="C21" s="1" t="n">
        <v>46100</v>
      </c>
      <c r="D21" t="inlineStr">
        <is>
          <t>KALMAR LÄN</t>
        </is>
      </c>
      <c r="E21" t="inlineStr">
        <is>
          <t>MÖRBYLÅNGA</t>
        </is>
      </c>
      <c r="G21" t="n">
        <v>1.6</v>
      </c>
      <c r="H21" t="n">
        <v>1</v>
      </c>
      <c r="I21" t="n">
        <v>1</v>
      </c>
      <c r="J21" t="n">
        <v>0</v>
      </c>
      <c r="K21" t="n">
        <v>0</v>
      </c>
      <c r="L21" t="n">
        <v>0</v>
      </c>
      <c r="M21" t="n">
        <v>0</v>
      </c>
      <c r="N21" t="n">
        <v>0</v>
      </c>
      <c r="O21" t="n">
        <v>0</v>
      </c>
      <c r="P21" t="n">
        <v>0</v>
      </c>
      <c r="Q21" t="n">
        <v>2</v>
      </c>
      <c r="R21" s="2" t="inlineStr">
        <is>
          <t>Murgröna
Blåsippa</t>
        </is>
      </c>
      <c r="S21">
        <f>HYPERLINK("https://klasma.github.io/Logging_0840/artfynd/A 62231-2023 artfynd.xlsx", "A 62231-2023")</f>
        <v/>
      </c>
      <c r="T21">
        <f>HYPERLINK("https://klasma.github.io/Logging_0840/kartor/A 62231-2023 karta.png", "A 62231-2023")</f>
        <v/>
      </c>
      <c r="V21">
        <f>HYPERLINK("https://klasma.github.io/Logging_0840/klagomål/A 62231-2023 FSC-klagomål.docx", "A 62231-2023")</f>
        <v/>
      </c>
      <c r="W21">
        <f>HYPERLINK("https://klasma.github.io/Logging_0840/klagomålsmail/A 62231-2023 FSC-klagomål mail.docx", "A 62231-2023")</f>
        <v/>
      </c>
      <c r="X21">
        <f>HYPERLINK("https://klasma.github.io/Logging_0840/tillsyn/A 62231-2023 tillsynsbegäran.docx", "A 62231-2023")</f>
        <v/>
      </c>
      <c r="Y21">
        <f>HYPERLINK("https://klasma.github.io/Logging_0840/tillsynsmail/A 62231-2023 tillsynsbegäran mail.docx", "A 62231-2023")</f>
        <v/>
      </c>
    </row>
    <row r="22" ht="15" customHeight="1">
      <c r="A22" t="inlineStr">
        <is>
          <t>A 15600-2025</t>
        </is>
      </c>
      <c r="B22" s="1" t="n">
        <v>45747</v>
      </c>
      <c r="C22" s="1" t="n">
        <v>46100</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46100</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46100</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24698-2023</t>
        </is>
      </c>
      <c r="B25" s="1" t="n">
        <v>45084</v>
      </c>
      <c r="C25" s="1" t="n">
        <v>46100</v>
      </c>
      <c r="D25" t="inlineStr">
        <is>
          <t>KALMAR LÄN</t>
        </is>
      </c>
      <c r="E25" t="inlineStr">
        <is>
          <t>MÖRBYLÅNGA</t>
        </is>
      </c>
      <c r="G25" t="n">
        <v>5.5</v>
      </c>
      <c r="H25" t="n">
        <v>0</v>
      </c>
      <c r="I25" t="n">
        <v>1</v>
      </c>
      <c r="J25" t="n">
        <v>0</v>
      </c>
      <c r="K25" t="n">
        <v>0</v>
      </c>
      <c r="L25" t="n">
        <v>0</v>
      </c>
      <c r="M25" t="n">
        <v>0</v>
      </c>
      <c r="N25" t="n">
        <v>0</v>
      </c>
      <c r="O25" t="n">
        <v>0</v>
      </c>
      <c r="P25" t="n">
        <v>0</v>
      </c>
      <c r="Q25" t="n">
        <v>1</v>
      </c>
      <c r="R25" s="2" t="inlineStr">
        <is>
          <t>Sårläka</t>
        </is>
      </c>
      <c r="S25">
        <f>HYPERLINK("https://klasma.github.io/Logging_0840/artfynd/A 24698-2023 artfynd.xlsx", "A 24698-2023")</f>
        <v/>
      </c>
      <c r="T25">
        <f>HYPERLINK("https://klasma.github.io/Logging_0840/kartor/A 24698-2023 karta.png", "A 24698-2023")</f>
        <v/>
      </c>
      <c r="V25">
        <f>HYPERLINK("https://klasma.github.io/Logging_0840/klagomål/A 24698-2023 FSC-klagomål.docx", "A 24698-2023")</f>
        <v/>
      </c>
      <c r="W25">
        <f>HYPERLINK("https://klasma.github.io/Logging_0840/klagomålsmail/A 24698-2023 FSC-klagomål mail.docx", "A 24698-2023")</f>
        <v/>
      </c>
      <c r="X25">
        <f>HYPERLINK("https://klasma.github.io/Logging_0840/tillsyn/A 24698-2023 tillsynsbegäran.docx", "A 24698-2023")</f>
        <v/>
      </c>
      <c r="Y25">
        <f>HYPERLINK("https://klasma.github.io/Logging_0840/tillsynsmail/A 24698-2023 tillsynsbegäran mail.docx", "A 24698-2023")</f>
        <v/>
      </c>
    </row>
    <row r="26" ht="15" customHeight="1">
      <c r="A26" t="inlineStr">
        <is>
          <t>A 43702-2025</t>
        </is>
      </c>
      <c r="B26" s="1" t="n">
        <v>45912.40270833333</v>
      </c>
      <c r="C26" s="1" t="n">
        <v>46100</v>
      </c>
      <c r="D26" t="inlineStr">
        <is>
          <t>KALMAR LÄN</t>
        </is>
      </c>
      <c r="E26" t="inlineStr">
        <is>
          <t>MÖRBYLÅNGA</t>
        </is>
      </c>
      <c r="G26" t="n">
        <v>2.6</v>
      </c>
      <c r="H26" t="n">
        <v>0</v>
      </c>
      <c r="I26" t="n">
        <v>1</v>
      </c>
      <c r="J26" t="n">
        <v>0</v>
      </c>
      <c r="K26" t="n">
        <v>0</v>
      </c>
      <c r="L26" t="n">
        <v>0</v>
      </c>
      <c r="M26" t="n">
        <v>0</v>
      </c>
      <c r="N26" t="n">
        <v>0</v>
      </c>
      <c r="O26" t="n">
        <v>0</v>
      </c>
      <c r="P26" t="n">
        <v>0</v>
      </c>
      <c r="Q26" t="n">
        <v>1</v>
      </c>
      <c r="R26" s="2" t="inlineStr">
        <is>
          <t>Sårläka</t>
        </is>
      </c>
      <c r="S26">
        <f>HYPERLINK("https://klasma.github.io/Logging_0840/artfynd/A 43702-2025 artfynd.xlsx", "A 43702-2025")</f>
        <v/>
      </c>
      <c r="T26">
        <f>HYPERLINK("https://klasma.github.io/Logging_0840/kartor/A 43702-2025 karta.png", "A 43702-2025")</f>
        <v/>
      </c>
      <c r="V26">
        <f>HYPERLINK("https://klasma.github.io/Logging_0840/klagomål/A 43702-2025 FSC-klagomål.docx", "A 43702-2025")</f>
        <v/>
      </c>
      <c r="W26">
        <f>HYPERLINK("https://klasma.github.io/Logging_0840/klagomålsmail/A 43702-2025 FSC-klagomål mail.docx", "A 43702-2025")</f>
        <v/>
      </c>
      <c r="X26">
        <f>HYPERLINK("https://klasma.github.io/Logging_0840/tillsyn/A 43702-2025 tillsynsbegäran.docx", "A 43702-2025")</f>
        <v/>
      </c>
      <c r="Y26">
        <f>HYPERLINK("https://klasma.github.io/Logging_0840/tillsynsmail/A 43702-2025 tillsynsbegäran mail.docx", "A 43702-2025")</f>
        <v/>
      </c>
    </row>
    <row r="27" ht="15" customHeight="1">
      <c r="A27" t="inlineStr">
        <is>
          <t>A 43704-2025</t>
        </is>
      </c>
      <c r="B27" s="1" t="n">
        <v>45912.40490740741</v>
      </c>
      <c r="C27" s="1" t="n">
        <v>46100</v>
      </c>
      <c r="D27" t="inlineStr">
        <is>
          <t>KALMAR LÄN</t>
        </is>
      </c>
      <c r="E27" t="inlineStr">
        <is>
          <t>MÖRBYLÅNGA</t>
        </is>
      </c>
      <c r="G27" t="n">
        <v>2.7</v>
      </c>
      <c r="H27" t="n">
        <v>0</v>
      </c>
      <c r="I27" t="n">
        <v>1</v>
      </c>
      <c r="J27" t="n">
        <v>0</v>
      </c>
      <c r="K27" t="n">
        <v>0</v>
      </c>
      <c r="L27" t="n">
        <v>0</v>
      </c>
      <c r="M27" t="n">
        <v>0</v>
      </c>
      <c r="N27" t="n">
        <v>0</v>
      </c>
      <c r="O27" t="n">
        <v>0</v>
      </c>
      <c r="P27" t="n">
        <v>0</v>
      </c>
      <c r="Q27" t="n">
        <v>1</v>
      </c>
      <c r="R27" s="2" t="inlineStr">
        <is>
          <t>Blomkålssvamp</t>
        </is>
      </c>
      <c r="S27">
        <f>HYPERLINK("https://klasma.github.io/Logging_0840/artfynd/A 43704-2025 artfynd.xlsx", "A 43704-2025")</f>
        <v/>
      </c>
      <c r="T27">
        <f>HYPERLINK("https://klasma.github.io/Logging_0840/kartor/A 43704-2025 karta.png", "A 43704-2025")</f>
        <v/>
      </c>
      <c r="V27">
        <f>HYPERLINK("https://klasma.github.io/Logging_0840/klagomål/A 43704-2025 FSC-klagomål.docx", "A 43704-2025")</f>
        <v/>
      </c>
      <c r="W27">
        <f>HYPERLINK("https://klasma.github.io/Logging_0840/klagomålsmail/A 43704-2025 FSC-klagomål mail.docx", "A 43704-2025")</f>
        <v/>
      </c>
      <c r="X27">
        <f>HYPERLINK("https://klasma.github.io/Logging_0840/tillsyn/A 43704-2025 tillsynsbegäran.docx", "A 43704-2025")</f>
        <v/>
      </c>
      <c r="Y27">
        <f>HYPERLINK("https://klasma.github.io/Logging_0840/tillsynsmail/A 43704-2025 tillsynsbegäran mail.docx", "A 43704-2025")</f>
        <v/>
      </c>
    </row>
    <row r="28" ht="15" customHeight="1">
      <c r="A28" t="inlineStr">
        <is>
          <t>A 19459-2023</t>
        </is>
      </c>
      <c r="B28" s="1" t="n">
        <v>45049</v>
      </c>
      <c r="C28" s="1" t="n">
        <v>46100</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46100</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46100</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46100</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46100</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46100</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ht="15" customHeight="1">
      <c r="A34" t="inlineStr">
        <is>
          <t>A 57407-2025</t>
        </is>
      </c>
      <c r="B34" s="1" t="n">
        <v>45980.44351851852</v>
      </c>
      <c r="C34" s="1" t="n">
        <v>46100</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62183-2025</t>
        </is>
      </c>
      <c r="B35" s="1" t="n">
        <v>46006.5356712963</v>
      </c>
      <c r="C35" s="1" t="n">
        <v>46100</v>
      </c>
      <c r="D35" t="inlineStr">
        <is>
          <t>KALMAR LÄN</t>
        </is>
      </c>
      <c r="E35" t="inlineStr">
        <is>
          <t>MÖRBYLÅNGA</t>
        </is>
      </c>
      <c r="G35" t="n">
        <v>0.8</v>
      </c>
      <c r="H35" t="n">
        <v>0</v>
      </c>
      <c r="I35" t="n">
        <v>0</v>
      </c>
      <c r="J35" t="n">
        <v>0</v>
      </c>
      <c r="K35" t="n">
        <v>0</v>
      </c>
      <c r="L35" t="n">
        <v>0</v>
      </c>
      <c r="M35" t="n">
        <v>0</v>
      </c>
      <c r="N35" t="n">
        <v>0</v>
      </c>
      <c r="O35" t="n">
        <v>0</v>
      </c>
      <c r="P35" t="n">
        <v>0</v>
      </c>
      <c r="Q35" t="n">
        <v>0</v>
      </c>
      <c r="R35" s="2" t="inlineStr"/>
    </row>
    <row r="36">
      <c r="A36" t="inlineStr">
        <is>
          <t>A 5733-2026</t>
        </is>
      </c>
      <c r="B36" s="1" t="n">
        <v>46051.5745949074</v>
      </c>
      <c r="C36" s="1" t="n">
        <v>46100</v>
      </c>
      <c r="D36" t="inlineStr">
        <is>
          <t>KALMAR LÄN</t>
        </is>
      </c>
      <c r="E36" t="inlineStr">
        <is>
          <t>MÖRBYLÅNGA</t>
        </is>
      </c>
      <c r="G36" t="n">
        <v>1.1</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2026-03-19T11:37:43Z</dcterms:created>
  <dcterms:modified xmlns:dcterms="http://purl.org/dc/terms/" xmlns:xsi="http://www.w3.org/2001/XMLSchema-instance" xsi:type="dcterms:W3CDTF">2026-03-19T11:37:43Z</dcterms:modified>
</cp:coreProperties>
</file>