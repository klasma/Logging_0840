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46290</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46290</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46290</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46290</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46290</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46290</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46290</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46290</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46290</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46290</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46290</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46290</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46290</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52906-2021</t>
        </is>
      </c>
      <c r="B15" t="inlineStr">
        <is>
          <t>avverkningsanmälan</t>
        </is>
      </c>
      <c r="C15" t="inlineStr">
        <is>
          <t>Föryngringsavverkning</t>
        </is>
      </c>
      <c r="D15" s="1" t="n">
        <v>44467</v>
      </c>
      <c r="E15" s="1" t="n">
        <v>46290</v>
      </c>
      <c r="F15" t="inlineStr">
        <is>
          <t>KALMAR LÄN</t>
        </is>
      </c>
      <c r="G15" t="inlineStr">
        <is>
          <t>MÖRBYLÅNGA</t>
        </is>
      </c>
      <c r="I15" t="n">
        <v>2.1</v>
      </c>
      <c r="J15" t="n">
        <v>5</v>
      </c>
      <c r="K15" t="n">
        <v>2</v>
      </c>
      <c r="L15" t="n">
        <v>4</v>
      </c>
      <c r="M15" t="n">
        <v>2</v>
      </c>
      <c r="N15" t="n">
        <v>1</v>
      </c>
      <c r="O15" t="n">
        <v>0</v>
      </c>
      <c r="P15" t="n">
        <v>0</v>
      </c>
      <c r="Q15" t="n">
        <v>7</v>
      </c>
      <c r="R15" t="n">
        <v>3</v>
      </c>
      <c r="S15" t="n">
        <v>11</v>
      </c>
      <c r="T15" t="n">
        <v>13</v>
      </c>
      <c r="U15" t="n">
        <v>13</v>
      </c>
      <c r="V15" s="2" t="inlineStr">
        <is>
          <t>Beryllspindling
Elastisk spindling
Grönkantad spindling
Gulprickig vaxskivling
Gulsparv
Järnsparv
Rödvingetrast
Lindspindling
Murgröna
Blåsippa
Näktergal</t>
        </is>
      </c>
      <c r="W15">
        <f>HYPERLINK("https://klasma.github.io/Logging_0840/artfynd/A 52906-2021 artfynd.xlsx", "A 52906-2021")</f>
        <v/>
      </c>
      <c r="X15">
        <f>HYPERLINK("https://klasma.github.io/Logging_0840/kartor/A 52906-2021 karta.png", "A 52906-2021")</f>
        <v/>
      </c>
      <c r="Y15">
        <f>HYPERLINK("https://klasma.github.io/Logging_0840/kartor_geotiff/A 52906-2021 georefererad karta.tif", "A 52906-2021")</f>
        <v/>
      </c>
      <c r="AA15">
        <f>HYPERLINK("https://klasma.github.io/Logging_0840/klagomål/A 52906-2021 FSC-klagomål.docx", "A 52906-2021")</f>
        <v/>
      </c>
      <c r="AB15">
        <f>HYPERLINK("https://klasma.github.io/Logging_0840/klagomålsmail/A 52906-2021 FSC-klagomål mail.docx", "A 52906-2021")</f>
        <v/>
      </c>
      <c r="AC15">
        <f>HYPERLINK("https://klasma.github.io/Logging_0840/tillsyn/A 52906-2021 tillsynsbegäran.docx", "A 52906-2021")</f>
        <v/>
      </c>
      <c r="AD15">
        <f>HYPERLINK("https://klasma.github.io/Logging_0840/tillsynsmail/A 52906-2021 tillsynsbegäran mail.docx", "A 52906-2021")</f>
        <v/>
      </c>
      <c r="AE15">
        <f>HYPERLINK("https://klasma.github.io/Logging_0840/fåglar/A 52906-2021 prioriterade fågelarter.docx", "A 52906-2021")</f>
        <v/>
      </c>
    </row>
    <row r="16" ht="15" customHeight="1">
      <c r="A16" t="inlineStr">
        <is>
          <t>A 38039-2022</t>
        </is>
      </c>
      <c r="B16" t="inlineStr">
        <is>
          <t>avverkningsanmälan</t>
        </is>
      </c>
      <c r="C16" t="inlineStr">
        <is>
          <t>Avverkning för annat ändamål</t>
        </is>
      </c>
      <c r="D16" s="1" t="n">
        <v>44811</v>
      </c>
      <c r="E16" s="1" t="n">
        <v>46290</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46290</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46290</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60875-2025</t>
        </is>
      </c>
      <c r="B19" t="inlineStr">
        <is>
          <t>avverkningsanmälan</t>
        </is>
      </c>
      <c r="C19" t="inlineStr">
        <is>
          <t>Föryngringsavverkning</t>
        </is>
      </c>
      <c r="D19" s="1" t="n">
        <v>45999</v>
      </c>
      <c r="E19" s="1" t="n">
        <v>46290</v>
      </c>
      <c r="F19" t="inlineStr">
        <is>
          <t>KALMAR LÄN</t>
        </is>
      </c>
      <c r="G19" t="inlineStr">
        <is>
          <t>MÖRBYLÅNGA</t>
        </is>
      </c>
      <c r="I19" t="n">
        <v>2.1</v>
      </c>
      <c r="J19" t="n">
        <v>8</v>
      </c>
      <c r="K19" t="n">
        <v>1</v>
      </c>
      <c r="L19" t="n">
        <v>5</v>
      </c>
      <c r="M19" t="n">
        <v>0</v>
      </c>
      <c r="N19" t="n">
        <v>1</v>
      </c>
      <c r="O19" t="n">
        <v>1</v>
      </c>
      <c r="P19" t="n">
        <v>0</v>
      </c>
      <c r="Q19" t="n">
        <v>7</v>
      </c>
      <c r="R19" t="n">
        <v>2</v>
      </c>
      <c r="S19" t="n">
        <v>11</v>
      </c>
      <c r="T19" t="n">
        <v>12</v>
      </c>
      <c r="U19" t="n">
        <v>3</v>
      </c>
      <c r="V19" s="2" t="inlineStr">
        <is>
          <t>Järnek
Mosippa
Grönsångare
Gulsparv
Göktyta
Mindre hackspett
Svinrot
Murgröna
Spillkråka
Kråka
Skogsduva</t>
        </is>
      </c>
      <c r="W19">
        <f>HYPERLINK("https://klasma.github.io/Logging_0840/artfynd/A 60875-2025 artfynd.xlsx", "A 60875-2025")</f>
        <v/>
      </c>
      <c r="X19">
        <f>HYPERLINK("https://klasma.github.io/Logging_0840/kartor/A 60875-2025 karta.png", "A 60875-2025")</f>
        <v/>
      </c>
      <c r="Y19">
        <f>HYPERLINK("https://klasma.github.io/Logging_0840/kartor_geotiff/A 60875-2025 georefererad karta.tif", "A 60875-2025")</f>
        <v/>
      </c>
      <c r="AA19">
        <f>HYPERLINK("https://klasma.github.io/Logging_0840/klagomål/A 60875-2025 FSC-klagomål.docx", "A 60875-2025")</f>
        <v/>
      </c>
      <c r="AB19">
        <f>HYPERLINK("https://klasma.github.io/Logging_0840/klagomålsmail/A 60875-2025 FSC-klagomål mail.docx", "A 60875-2025")</f>
        <v/>
      </c>
      <c r="AC19">
        <f>HYPERLINK("https://klasma.github.io/Logging_0840/tillsyn/A 60875-2025 tillsynsbegäran.docx", "A 60875-2025")</f>
        <v/>
      </c>
      <c r="AD19">
        <f>HYPERLINK("https://klasma.github.io/Logging_0840/tillsynsmail/A 60875-2025 tillsynsbegäran mail.docx", "A 60875-2025")</f>
        <v/>
      </c>
      <c r="AE19">
        <f>HYPERLINK("https://klasma.github.io/Logging_0840/fåglar/A 60875-2025 prioriterade fågelarter.docx", "A 60875-2025")</f>
        <v/>
      </c>
    </row>
    <row r="20" ht="15" customHeight="1">
      <c r="A20" t="inlineStr">
        <is>
          <t>A 39320-2024</t>
        </is>
      </c>
      <c r="B20" t="inlineStr">
        <is>
          <t>avverkningsanmälan</t>
        </is>
      </c>
      <c r="C20" t="inlineStr">
        <is>
          <t>Avverkning för annat ändamål</t>
        </is>
      </c>
      <c r="D20" s="1" t="n">
        <v>45551</v>
      </c>
      <c r="E20" s="1" t="n">
        <v>46290</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46290</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46290</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46290</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46290</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46290</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46290</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46290</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46290</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46290</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46290</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46290</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46290</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46290</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46290</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46290</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46290</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46290</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15600-2025</t>
        </is>
      </c>
      <c r="B38" t="inlineStr">
        <is>
          <t>avverkningsanmälan</t>
        </is>
      </c>
      <c r="C38" t="inlineStr">
        <is>
          <t>Avverkning för annat ändamål</t>
        </is>
      </c>
      <c r="D38" s="1" t="n">
        <v>45747</v>
      </c>
      <c r="E38" s="1" t="n">
        <v>46290</v>
      </c>
      <c r="F38" t="inlineStr">
        <is>
          <t>KALMAR LÄN</t>
        </is>
      </c>
      <c r="G38" t="inlineStr">
        <is>
          <t>MÖRBYLÅNGA</t>
        </is>
      </c>
      <c r="I38" t="n">
        <v>1.1</v>
      </c>
      <c r="J38" t="n">
        <v>0</v>
      </c>
      <c r="K38" t="n">
        <v>3</v>
      </c>
      <c r="L38" t="n">
        <v>0</v>
      </c>
      <c r="M38" t="n">
        <v>0</v>
      </c>
      <c r="N38" t="n">
        <v>0</v>
      </c>
      <c r="O38" t="n">
        <v>0</v>
      </c>
      <c r="P38" t="n">
        <v>0</v>
      </c>
      <c r="Q38" t="n">
        <v>0</v>
      </c>
      <c r="R38" t="n">
        <v>0</v>
      </c>
      <c r="S38" t="n">
        <v>3</v>
      </c>
      <c r="T38" t="n">
        <v>3</v>
      </c>
      <c r="U38" t="n">
        <v>1</v>
      </c>
      <c r="V38" s="2" t="inlineStr">
        <is>
          <t>Kragjordstjärna
Murgröna
Scharlakansvårskål agg.</t>
        </is>
      </c>
      <c r="W38">
        <f>HYPERLINK("https://klasma.github.io/Logging_0840/artfynd/A 15600-2025 artfynd.xlsx", "A 15600-2025")</f>
        <v/>
      </c>
      <c r="X38">
        <f>HYPERLINK("https://klasma.github.io/Logging_0840/kartor/A 15600-2025 karta.png", "A 15600-2025")</f>
        <v/>
      </c>
      <c r="Y38">
        <f>HYPERLINK("https://klasma.github.io/Logging_0840/kartor_geotiff/A 15600-2025 georefererad karta.tif", "A 15600-2025")</f>
        <v/>
      </c>
      <c r="AA38">
        <f>HYPERLINK("https://klasma.github.io/Logging_0840/klagomål/A 15600-2025 FSC-klagomål.docx", "A 15600-2025")</f>
        <v/>
      </c>
      <c r="AB38">
        <f>HYPERLINK("https://klasma.github.io/Logging_0840/klagomålsmail/A 15600-2025 FSC-klagomål mail.docx", "A 15600-2025")</f>
        <v/>
      </c>
      <c r="AC38">
        <f>HYPERLINK("https://klasma.github.io/Logging_0840/tillsyn/A 15600-2025 tillsynsbegäran.docx", "A 15600-2025")</f>
        <v/>
      </c>
      <c r="AD38">
        <f>HYPERLINK("https://klasma.github.io/Logging_0840/tillsynsmail/A 15600-2025 tillsynsbegäran mail.docx", "A 15600-2025")</f>
        <v/>
      </c>
    </row>
    <row r="39" ht="15" customHeight="1">
      <c r="A39" t="inlineStr">
        <is>
          <t>A 54192-2021</t>
        </is>
      </c>
      <c r="B39" t="inlineStr">
        <is>
          <t>avverkningsanmälan</t>
        </is>
      </c>
      <c r="C39" t="inlineStr">
        <is>
          <t>Föryngringsavverkning</t>
        </is>
      </c>
      <c r="D39" s="1" t="n">
        <v>44470</v>
      </c>
      <c r="E39" s="1" t="n">
        <v>46290</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46290</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46290</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46290</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62183-2025</t>
        </is>
      </c>
      <c r="B43" t="inlineStr">
        <is>
          <t>avverkningsanmälan</t>
        </is>
      </c>
      <c r="C43" t="inlineStr">
        <is>
          <t>Föryngringsavverkning</t>
        </is>
      </c>
      <c r="D43" s="1" t="n">
        <v>46006</v>
      </c>
      <c r="E43" s="1" t="n">
        <v>46290</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13040-2024</t>
        </is>
      </c>
      <c r="B44" t="inlineStr">
        <is>
          <t>avverkningsanmälan</t>
        </is>
      </c>
      <c r="C44" t="inlineStr">
        <is>
          <t>Avverkning för annat ändamål</t>
        </is>
      </c>
      <c r="D44" s="1" t="n">
        <v>45385</v>
      </c>
      <c r="E44" s="1" t="n">
        <v>46290</v>
      </c>
      <c r="F44" t="inlineStr">
        <is>
          <t>KALMAR LÄN</t>
        </is>
      </c>
      <c r="G44" t="inlineStr">
        <is>
          <t>MÖRBYLÅNGA</t>
        </is>
      </c>
      <c r="I44" t="n">
        <v>1.2</v>
      </c>
      <c r="J44" t="n">
        <v>0</v>
      </c>
      <c r="K44" t="n">
        <v>0</v>
      </c>
      <c r="L44" t="n">
        <v>0</v>
      </c>
      <c r="M44" t="n">
        <v>0</v>
      </c>
      <c r="N44" t="n">
        <v>1</v>
      </c>
      <c r="O44" t="n">
        <v>0</v>
      </c>
      <c r="P44" t="n">
        <v>0</v>
      </c>
      <c r="Q44" t="n">
        <v>1</v>
      </c>
      <c r="R44" t="n">
        <v>1</v>
      </c>
      <c r="S44" t="n">
        <v>1</v>
      </c>
      <c r="T44" t="n">
        <v>1</v>
      </c>
      <c r="U44" t="n">
        <v>1</v>
      </c>
      <c r="V44" s="2" t="inlineStr">
        <is>
          <t>Skogsalm</t>
        </is>
      </c>
      <c r="W44">
        <f>HYPERLINK("https://klasma.github.io/Logging_0840/artfynd/A 13040-2024 artfynd.xlsx", "A 13040-2024")</f>
        <v/>
      </c>
      <c r="X44">
        <f>HYPERLINK("https://klasma.github.io/Logging_0840/kartor/A 13040-2024 karta.png", "A 13040-2024")</f>
        <v/>
      </c>
      <c r="Y44">
        <f>HYPERLINK("https://klasma.github.io/Logging_0840/kartor_geotiff/A 13040-2024 georefererad karta.tif", "A 13040-2024")</f>
        <v/>
      </c>
      <c r="AA44">
        <f>HYPERLINK("https://klasma.github.io/Logging_0840/klagomål/A 13040-2024 FSC-klagomål.docx", "A 13040-2024")</f>
        <v/>
      </c>
      <c r="AB44">
        <f>HYPERLINK("https://klasma.github.io/Logging_0840/klagomålsmail/A 13040-2024 FSC-klagomål mail.docx", "A 13040-2024")</f>
        <v/>
      </c>
      <c r="AC44">
        <f>HYPERLINK("https://klasma.github.io/Logging_0840/tillsyn/A 13040-2024 tillsynsbegäran.docx", "A 13040-2024")</f>
        <v/>
      </c>
      <c r="AD44">
        <f>HYPERLINK("https://klasma.github.io/Logging_0840/tillsynsmail/A 13040-2024 tillsynsbegäran mail.docx", "A 13040-2024")</f>
        <v/>
      </c>
    </row>
    <row r="45" ht="15" customHeight="1">
      <c r="A45" t="inlineStr">
        <is>
          <t>A 13384-2023</t>
        </is>
      </c>
      <c r="B45" t="inlineStr">
        <is>
          <t>avverkningsanmälan</t>
        </is>
      </c>
      <c r="C45" t="inlineStr">
        <is>
          <t>Föryngringsavverkning</t>
        </is>
      </c>
      <c r="D45" s="1" t="n">
        <v>45005</v>
      </c>
      <c r="E45" s="1" t="n">
        <v>46290</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30492-2026</t>
        </is>
      </c>
      <c r="B46" t="inlineStr">
        <is>
          <t>avverkningsanmälan</t>
        </is>
      </c>
      <c r="C46" t="inlineStr">
        <is>
          <t>Avverkning för annat ändamål</t>
        </is>
      </c>
      <c r="D46" s="1" t="n">
        <v>46210</v>
      </c>
      <c r="E46" s="1" t="n">
        <v>46290</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46290</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24698-2023</t>
        </is>
      </c>
      <c r="B48" t="inlineStr">
        <is>
          <t>avverkningsanmälan</t>
        </is>
      </c>
      <c r="C48" t="inlineStr">
        <is>
          <t>Föryngringsavverkning</t>
        </is>
      </c>
      <c r="D48" s="1" t="n">
        <v>45084</v>
      </c>
      <c r="E48" s="1" t="n">
        <v>46290</v>
      </c>
      <c r="F48" t="inlineStr">
        <is>
          <t>KALMAR LÄN</t>
        </is>
      </c>
      <c r="G48" t="inlineStr">
        <is>
          <t>MÖRBYLÅNGA</t>
        </is>
      </c>
      <c r="I48" t="n">
        <v>5.5</v>
      </c>
      <c r="J48" t="n">
        <v>0</v>
      </c>
      <c r="K48" t="n">
        <v>0</v>
      </c>
      <c r="L48" t="n">
        <v>1</v>
      </c>
      <c r="M48" t="n">
        <v>0</v>
      </c>
      <c r="N48" t="n">
        <v>0</v>
      </c>
      <c r="O48" t="n">
        <v>0</v>
      </c>
      <c r="P48" t="n">
        <v>0</v>
      </c>
      <c r="Q48" t="n">
        <v>1</v>
      </c>
      <c r="R48" t="n">
        <v>0</v>
      </c>
      <c r="S48" t="n">
        <v>1</v>
      </c>
      <c r="T48" t="n">
        <v>1</v>
      </c>
      <c r="U48" t="n">
        <v>1</v>
      </c>
      <c r="V48" s="2" t="inlineStr">
        <is>
          <t>Sårläka</t>
        </is>
      </c>
      <c r="W48">
        <f>HYPERLINK("https://klasma.github.io/Logging_0840/artfynd/A 24698-2023 artfynd.xlsx", "A 24698-2023")</f>
        <v/>
      </c>
      <c r="X48">
        <f>HYPERLINK("https://klasma.github.io/Logging_0840/kartor/A 24698-2023 karta.png", "A 24698-2023")</f>
        <v/>
      </c>
      <c r="Y48">
        <f>HYPERLINK("https://klasma.github.io/Logging_0840/kartor_geotiff/A 24698-2023 georefererad karta.tif", "A 24698-2023")</f>
        <v/>
      </c>
      <c r="AA48">
        <f>HYPERLINK("https://klasma.github.io/Logging_0840/klagomål/A 24698-2023 FSC-klagomål.docx", "A 24698-2023")</f>
        <v/>
      </c>
      <c r="AB48">
        <f>HYPERLINK("https://klasma.github.io/Logging_0840/klagomålsmail/A 24698-2023 FSC-klagomål mail.docx", "A 24698-2023")</f>
        <v/>
      </c>
      <c r="AC48">
        <f>HYPERLINK("https://klasma.github.io/Logging_0840/tillsyn/A 24698-2023 tillsynsbegäran.docx", "A 24698-2023")</f>
        <v/>
      </c>
      <c r="AD48">
        <f>HYPERLINK("https://klasma.github.io/Logging_0840/tillsynsmail/A 24698-2023 tillsynsbegäran mail.docx", "A 24698-2023")</f>
        <v/>
      </c>
    </row>
    <row r="49" ht="15" customHeight="1">
      <c r="A49" t="inlineStr">
        <is>
          <t>A 26876-2022</t>
        </is>
      </c>
      <c r="B49" t="inlineStr">
        <is>
          <t>avverkningsanmälan</t>
        </is>
      </c>
      <c r="C49" t="inlineStr">
        <is>
          <t>Avverkning för annat ändamål</t>
        </is>
      </c>
      <c r="D49" s="1" t="n">
        <v>44740</v>
      </c>
      <c r="E49" s="1" t="n">
        <v>46290</v>
      </c>
      <c r="F49" t="inlineStr">
        <is>
          <t>KALMAR LÄN</t>
        </is>
      </c>
      <c r="G49" t="inlineStr">
        <is>
          <t>MÖRBYLÅNGA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57407-2025</t>
        </is>
      </c>
      <c r="B50" t="inlineStr">
        <is>
          <t>avverkningsanmälan</t>
        </is>
      </c>
      <c r="C50" t="inlineStr">
        <is>
          <t>Föryngringsavverkning</t>
        </is>
      </c>
      <c r="D50" s="1" t="n">
        <v>45980</v>
      </c>
      <c r="E50" s="1" t="n">
        <v>46290</v>
      </c>
      <c r="F50" t="inlineStr">
        <is>
          <t>KALMAR LÄN</t>
        </is>
      </c>
      <c r="G50" t="inlineStr">
        <is>
          <t>MÖRBYLÅNGA</t>
        </is>
      </c>
      <c r="I50" t="n">
        <v>0.8</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46290</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2026-09-25T02:01:45Z</dcterms:created>
  <dcterms:modified xmlns:dcterms="http://purl.org/dc/terms/" xmlns:xsi="http://www.w3.org/2001/XMLSchema-instance" xsi:type="dcterms:W3CDTF">2026-09-25T02:01:45Z</dcterms:modified>
</cp:coreProperties>
</file>