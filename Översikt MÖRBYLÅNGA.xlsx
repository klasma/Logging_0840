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45890</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45890</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45890</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45890</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65163-2020</t>
        </is>
      </c>
      <c r="B6" s="1" t="n">
        <v>44172</v>
      </c>
      <c r="C6" s="1" t="n">
        <v>45890</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45890</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45890</v>
      </c>
      <c r="D8" t="inlineStr">
        <is>
          <t>KALMAR LÄN</t>
        </is>
      </c>
      <c r="E8" t="inlineStr">
        <is>
          <t>MÖRBYLÅNGA</t>
        </is>
      </c>
      <c r="G8" t="n">
        <v>2.6</v>
      </c>
      <c r="H8" t="n">
        <v>2</v>
      </c>
      <c r="I8" t="n">
        <v>5</v>
      </c>
      <c r="J8" t="n">
        <v>1</v>
      </c>
      <c r="K8" t="n">
        <v>0</v>
      </c>
      <c r="L8" t="n">
        <v>1</v>
      </c>
      <c r="M8" t="n">
        <v>0</v>
      </c>
      <c r="N8" t="n">
        <v>0</v>
      </c>
      <c r="O8" t="n">
        <v>2</v>
      </c>
      <c r="P8" t="n">
        <v>1</v>
      </c>
      <c r="Q8" t="n">
        <v>9</v>
      </c>
      <c r="R8" s="2" t="inlineStr">
        <is>
          <t>Ask
Olivbrun spindling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row>
    <row r="9" ht="15" customHeight="1">
      <c r="A9" t="inlineStr">
        <is>
          <t>A 59540-2023</t>
        </is>
      </c>
      <c r="B9" s="1" t="n">
        <v>45254</v>
      </c>
      <c r="C9" s="1" t="n">
        <v>45890</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45890</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45890</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45890</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45890</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45890</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45890</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61854-2020</t>
        </is>
      </c>
      <c r="B16" s="1" t="n">
        <v>44155</v>
      </c>
      <c r="C16" s="1" t="n">
        <v>45890</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54167-2024</t>
        </is>
      </c>
      <c r="B17" s="1" t="n">
        <v>45616.62196759259</v>
      </c>
      <c r="C17" s="1" t="n">
        <v>45890</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45890</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57704-2020</t>
        </is>
      </c>
      <c r="B19" s="1" t="n">
        <v>44140</v>
      </c>
      <c r="C19" s="1" t="n">
        <v>45890</v>
      </c>
      <c r="D19" t="inlineStr">
        <is>
          <t>KALMAR LÄN</t>
        </is>
      </c>
      <c r="E19" t="inlineStr">
        <is>
          <t>MÖRBYLÅNGA</t>
        </is>
      </c>
      <c r="G19" t="n">
        <v>2.5</v>
      </c>
      <c r="H19" t="n">
        <v>0</v>
      </c>
      <c r="I19" t="n">
        <v>0</v>
      </c>
      <c r="J19" t="n">
        <v>3</v>
      </c>
      <c r="K19" t="n">
        <v>0</v>
      </c>
      <c r="L19" t="n">
        <v>0</v>
      </c>
      <c r="M19" t="n">
        <v>0</v>
      </c>
      <c r="N19" t="n">
        <v>0</v>
      </c>
      <c r="O19" t="n">
        <v>3</v>
      </c>
      <c r="P19" t="n">
        <v>0</v>
      </c>
      <c r="Q19" t="n">
        <v>3</v>
      </c>
      <c r="R19" s="2" t="inlineStr">
        <is>
          <t>Ekträdlöpare
Jordtistel
Vanlig sandviol</t>
        </is>
      </c>
      <c r="S19">
        <f>HYPERLINK("https://klasma.github.io/Logging_0840/artfynd/A 57704-2020 artfynd.xlsx", "A 57704-2020")</f>
        <v/>
      </c>
      <c r="T19">
        <f>HYPERLINK("https://klasma.github.io/Logging_0840/kartor/A 57704-2020 karta.png", "A 57704-2020")</f>
        <v/>
      </c>
      <c r="V19">
        <f>HYPERLINK("https://klasma.github.io/Logging_0840/klagomål/A 57704-2020 FSC-klagomål.docx", "A 57704-2020")</f>
        <v/>
      </c>
      <c r="W19">
        <f>HYPERLINK("https://klasma.github.io/Logging_0840/klagomålsmail/A 57704-2020 FSC-klagomål mail.docx", "A 57704-2020")</f>
        <v/>
      </c>
      <c r="X19">
        <f>HYPERLINK("https://klasma.github.io/Logging_0840/tillsyn/A 57704-2020 tillsynsbegäran.docx", "A 57704-2020")</f>
        <v/>
      </c>
      <c r="Y19">
        <f>HYPERLINK("https://klasma.github.io/Logging_0840/tillsynsmail/A 57704-2020 tillsynsbegäran mail.docx", "A 57704-2020")</f>
        <v/>
      </c>
    </row>
    <row r="20" ht="15" customHeight="1">
      <c r="A20" t="inlineStr">
        <is>
          <t>A 35242-2024</t>
        </is>
      </c>
      <c r="B20" s="1" t="n">
        <v>45530.55440972222</v>
      </c>
      <c r="C20" s="1" t="n">
        <v>45890</v>
      </c>
      <c r="D20" t="inlineStr">
        <is>
          <t>KALMAR LÄN</t>
        </is>
      </c>
      <c r="E20" t="inlineStr">
        <is>
          <t>MÖRBYLÅNGA</t>
        </is>
      </c>
      <c r="G20" t="n">
        <v>0.9</v>
      </c>
      <c r="H20" t="n">
        <v>1</v>
      </c>
      <c r="I20" t="n">
        <v>2</v>
      </c>
      <c r="J20" t="n">
        <v>0</v>
      </c>
      <c r="K20" t="n">
        <v>0</v>
      </c>
      <c r="L20" t="n">
        <v>1</v>
      </c>
      <c r="M20" t="n">
        <v>0</v>
      </c>
      <c r="N20" t="n">
        <v>0</v>
      </c>
      <c r="O20" t="n">
        <v>1</v>
      </c>
      <c r="P20" t="n">
        <v>1</v>
      </c>
      <c r="Q20" t="n">
        <v>3</v>
      </c>
      <c r="R20" s="2" t="inlineStr">
        <is>
          <t>Ryl
Grönpyrola
Skogsknipprot</t>
        </is>
      </c>
      <c r="S20">
        <f>HYPERLINK("https://klasma.github.io/Logging_0840/artfynd/A 35242-2024 artfynd.xlsx", "A 35242-2024")</f>
        <v/>
      </c>
      <c r="T20">
        <f>HYPERLINK("https://klasma.github.io/Logging_0840/kartor/A 35242-2024 karta.png", "A 35242-2024")</f>
        <v/>
      </c>
      <c r="V20">
        <f>HYPERLINK("https://klasma.github.io/Logging_0840/klagomål/A 35242-2024 FSC-klagomål.docx", "A 35242-2024")</f>
        <v/>
      </c>
      <c r="W20">
        <f>HYPERLINK("https://klasma.github.io/Logging_0840/klagomålsmail/A 35242-2024 FSC-klagomål mail.docx", "A 35242-2024")</f>
        <v/>
      </c>
      <c r="X20">
        <f>HYPERLINK("https://klasma.github.io/Logging_0840/tillsyn/A 35242-2024 tillsynsbegäran.docx", "A 35242-2024")</f>
        <v/>
      </c>
      <c r="Y20">
        <f>HYPERLINK("https://klasma.github.io/Logging_0840/tillsynsmail/A 35242-2024 tillsynsbegäran mail.docx", "A 35242-2024")</f>
        <v/>
      </c>
    </row>
    <row r="21" ht="15" customHeight="1">
      <c r="A21" t="inlineStr">
        <is>
          <t>A 15600-2025</t>
        </is>
      </c>
      <c r="B21" s="1" t="n">
        <v>45747</v>
      </c>
      <c r="C21" s="1" t="n">
        <v>45890</v>
      </c>
      <c r="D21" t="inlineStr">
        <is>
          <t>KALMAR LÄN</t>
        </is>
      </c>
      <c r="E21" t="inlineStr">
        <is>
          <t>MÖRBYLÅNGA</t>
        </is>
      </c>
      <c r="G21" t="n">
        <v>1.1</v>
      </c>
      <c r="H21" t="n">
        <v>0</v>
      </c>
      <c r="I21" t="n">
        <v>2</v>
      </c>
      <c r="J21" t="n">
        <v>0</v>
      </c>
      <c r="K21" t="n">
        <v>0</v>
      </c>
      <c r="L21" t="n">
        <v>0</v>
      </c>
      <c r="M21" t="n">
        <v>0</v>
      </c>
      <c r="N21" t="n">
        <v>0</v>
      </c>
      <c r="O21" t="n">
        <v>0</v>
      </c>
      <c r="P21" t="n">
        <v>0</v>
      </c>
      <c r="Q21" t="n">
        <v>2</v>
      </c>
      <c r="R21" s="2" t="inlineStr">
        <is>
          <t>Murgröna
Scharlakansvårskål agg.</t>
        </is>
      </c>
      <c r="S21">
        <f>HYPERLINK("https://klasma.github.io/Logging_0840/artfynd/A 15600-2025 artfynd.xlsx", "A 15600-2025")</f>
        <v/>
      </c>
      <c r="T21">
        <f>HYPERLINK("https://klasma.github.io/Logging_0840/kartor/A 15600-2025 karta.png", "A 15600-2025")</f>
        <v/>
      </c>
      <c r="V21">
        <f>HYPERLINK("https://klasma.github.io/Logging_0840/klagomål/A 15600-2025 FSC-klagomål.docx", "A 15600-2025")</f>
        <v/>
      </c>
      <c r="W21">
        <f>HYPERLINK("https://klasma.github.io/Logging_0840/klagomålsmail/A 15600-2025 FSC-klagomål mail.docx", "A 15600-2025")</f>
        <v/>
      </c>
      <c r="X21">
        <f>HYPERLINK("https://klasma.github.io/Logging_0840/tillsyn/A 15600-2025 tillsynsbegäran.docx", "A 15600-2025")</f>
        <v/>
      </c>
      <c r="Y21">
        <f>HYPERLINK("https://klasma.github.io/Logging_0840/tillsynsmail/A 15600-2025 tillsynsbegäran mail.docx", "A 15600-2025")</f>
        <v/>
      </c>
    </row>
    <row r="22" ht="15" customHeight="1">
      <c r="A22" t="inlineStr">
        <is>
          <t>A 62231-2023</t>
        </is>
      </c>
      <c r="B22" s="1" t="n">
        <v>45267</v>
      </c>
      <c r="C22" s="1" t="n">
        <v>45890</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40361-2023</t>
        </is>
      </c>
      <c r="B23" s="1" t="n">
        <v>45169</v>
      </c>
      <c r="C23" s="1" t="n">
        <v>45890</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42694-2020</t>
        </is>
      </c>
      <c r="B24" s="1" t="n">
        <v>44077</v>
      </c>
      <c r="C24" s="1" t="n">
        <v>45890</v>
      </c>
      <c r="D24" t="inlineStr">
        <is>
          <t>KALMAR LÄN</t>
        </is>
      </c>
      <c r="E24" t="inlineStr">
        <is>
          <t>MÖRBYLÅNGA</t>
        </is>
      </c>
      <c r="G24" t="n">
        <v>0.9</v>
      </c>
      <c r="H24" t="n">
        <v>0</v>
      </c>
      <c r="I24" t="n">
        <v>0</v>
      </c>
      <c r="J24" t="n">
        <v>0</v>
      </c>
      <c r="K24" t="n">
        <v>1</v>
      </c>
      <c r="L24" t="n">
        <v>0</v>
      </c>
      <c r="M24" t="n">
        <v>0</v>
      </c>
      <c r="N24" t="n">
        <v>0</v>
      </c>
      <c r="O24" t="n">
        <v>1</v>
      </c>
      <c r="P24" t="n">
        <v>1</v>
      </c>
      <c r="Q24" t="n">
        <v>1</v>
      </c>
      <c r="R24" s="2" t="inlineStr">
        <is>
          <t>Gaffelfibbla</t>
        </is>
      </c>
      <c r="S24">
        <f>HYPERLINK("https://klasma.github.io/Logging_0840/artfynd/A 42694-2020 artfynd.xlsx", "A 42694-2020")</f>
        <v/>
      </c>
      <c r="T24">
        <f>HYPERLINK("https://klasma.github.io/Logging_0840/kartor/A 42694-2020 karta.png", "A 42694-2020")</f>
        <v/>
      </c>
      <c r="V24">
        <f>HYPERLINK("https://klasma.github.io/Logging_0840/klagomål/A 42694-2020 FSC-klagomål.docx", "A 42694-2020")</f>
        <v/>
      </c>
      <c r="W24">
        <f>HYPERLINK("https://klasma.github.io/Logging_0840/klagomålsmail/A 42694-2020 FSC-klagomål mail.docx", "A 42694-2020")</f>
        <v/>
      </c>
      <c r="X24">
        <f>HYPERLINK("https://klasma.github.io/Logging_0840/tillsyn/A 42694-2020 tillsynsbegäran.docx", "A 42694-2020")</f>
        <v/>
      </c>
      <c r="Y24">
        <f>HYPERLINK("https://klasma.github.io/Logging_0840/tillsynsmail/A 42694-2020 tillsynsbegäran mail.docx", "A 42694-2020")</f>
        <v/>
      </c>
    </row>
    <row r="25" ht="15" customHeight="1">
      <c r="A25" t="inlineStr">
        <is>
          <t>A 54192-2021</t>
        </is>
      </c>
      <c r="B25" s="1" t="n">
        <v>44470</v>
      </c>
      <c r="C25" s="1" t="n">
        <v>45890</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45890</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24698-2023</t>
        </is>
      </c>
      <c r="B27" s="1" t="n">
        <v>45084</v>
      </c>
      <c r="C27" s="1" t="n">
        <v>45890</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19459-2023</t>
        </is>
      </c>
      <c r="B28" s="1" t="n">
        <v>45049</v>
      </c>
      <c r="C28" s="1" t="n">
        <v>45890</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45890</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13040-2024</t>
        </is>
      </c>
      <c r="B30" s="1" t="n">
        <v>45385</v>
      </c>
      <c r="C30" s="1" t="n">
        <v>45890</v>
      </c>
      <c r="D30" t="inlineStr">
        <is>
          <t>KALMAR LÄN</t>
        </is>
      </c>
      <c r="E30" t="inlineStr">
        <is>
          <t>MÖRBYLÅNGA</t>
        </is>
      </c>
      <c r="G30" t="n">
        <v>1.2</v>
      </c>
      <c r="H30" t="n">
        <v>0</v>
      </c>
      <c r="I30" t="n">
        <v>0</v>
      </c>
      <c r="J30" t="n">
        <v>0</v>
      </c>
      <c r="K30" t="n">
        <v>0</v>
      </c>
      <c r="L30" t="n">
        <v>0</v>
      </c>
      <c r="M30" t="n">
        <v>0</v>
      </c>
      <c r="N30" t="n">
        <v>0</v>
      </c>
      <c r="O30" t="n">
        <v>0</v>
      </c>
      <c r="P30" t="n">
        <v>0</v>
      </c>
      <c r="Q30" t="n">
        <v>0</v>
      </c>
      <c r="R30" s="2" t="inlineStr"/>
    </row>
    <row r="31" ht="15" customHeight="1">
      <c r="A31" t="inlineStr">
        <is>
          <t>A 13384-2023</t>
        </is>
      </c>
      <c r="B31" s="1" t="n">
        <v>45005</v>
      </c>
      <c r="C31" s="1" t="n">
        <v>45890</v>
      </c>
      <c r="D31" t="inlineStr">
        <is>
          <t>KALMAR LÄN</t>
        </is>
      </c>
      <c r="E31" t="inlineStr">
        <is>
          <t>MÖRBYLÅNGA</t>
        </is>
      </c>
      <c r="G31" t="n">
        <v>0.9</v>
      </c>
      <c r="H31" t="n">
        <v>0</v>
      </c>
      <c r="I31" t="n">
        <v>0</v>
      </c>
      <c r="J31" t="n">
        <v>0</v>
      </c>
      <c r="K31" t="n">
        <v>0</v>
      </c>
      <c r="L31" t="n">
        <v>0</v>
      </c>
      <c r="M31" t="n">
        <v>0</v>
      </c>
      <c r="N31" t="n">
        <v>0</v>
      </c>
      <c r="O31" t="n">
        <v>0</v>
      </c>
      <c r="P31" t="n">
        <v>0</v>
      </c>
      <c r="Q31" t="n">
        <v>0</v>
      </c>
      <c r="R31" s="2" t="inlineStr"/>
    </row>
    <row r="32" ht="15" customHeight="1">
      <c r="A32" t="inlineStr">
        <is>
          <t>A 61865-2020</t>
        </is>
      </c>
      <c r="B32" s="1" t="n">
        <v>44155</v>
      </c>
      <c r="C32" s="1" t="n">
        <v>45890</v>
      </c>
      <c r="D32" t="inlineStr">
        <is>
          <t>KALMAR LÄN</t>
        </is>
      </c>
      <c r="E32" t="inlineStr">
        <is>
          <t>MÖRBYLÅNGA</t>
        </is>
      </c>
      <c r="G32" t="n">
        <v>5</v>
      </c>
      <c r="H32" t="n">
        <v>0</v>
      </c>
      <c r="I32" t="n">
        <v>0</v>
      </c>
      <c r="J32" t="n">
        <v>0</v>
      </c>
      <c r="K32" t="n">
        <v>0</v>
      </c>
      <c r="L32" t="n">
        <v>0</v>
      </c>
      <c r="M32" t="n">
        <v>0</v>
      </c>
      <c r="N32" t="n">
        <v>0</v>
      </c>
      <c r="O32" t="n">
        <v>0</v>
      </c>
      <c r="P32" t="n">
        <v>0</v>
      </c>
      <c r="Q32" t="n">
        <v>0</v>
      </c>
      <c r="R32" s="2" t="inlineStr"/>
    </row>
    <row r="33" ht="15" customHeight="1">
      <c r="A33" t="inlineStr">
        <is>
          <t>A 72167-2021</t>
        </is>
      </c>
      <c r="B33" s="1" t="n">
        <v>44544</v>
      </c>
      <c r="C33" s="1" t="n">
        <v>45890</v>
      </c>
      <c r="D33" t="inlineStr">
        <is>
          <t>KALMAR LÄN</t>
        </is>
      </c>
      <c r="E33" t="inlineStr">
        <is>
          <t>MÖRBYLÅNGA</t>
        </is>
      </c>
      <c r="G33" t="n">
        <v>3.5</v>
      </c>
      <c r="H33" t="n">
        <v>0</v>
      </c>
      <c r="I33" t="n">
        <v>0</v>
      </c>
      <c r="J33" t="n">
        <v>0</v>
      </c>
      <c r="K33" t="n">
        <v>0</v>
      </c>
      <c r="L33" t="n">
        <v>0</v>
      </c>
      <c r="M33" t="n">
        <v>0</v>
      </c>
      <c r="N33" t="n">
        <v>0</v>
      </c>
      <c r="O33" t="n">
        <v>0</v>
      </c>
      <c r="P33" t="n">
        <v>0</v>
      </c>
      <c r="Q33" t="n">
        <v>0</v>
      </c>
      <c r="R33" s="2" t="inlineStr"/>
    </row>
    <row r="34">
      <c r="A34" t="inlineStr">
        <is>
          <t>A 63676-2023</t>
        </is>
      </c>
      <c r="B34" s="1" t="n">
        <v>45275.64739583333</v>
      </c>
      <c r="C34" s="1" t="n">
        <v>45890</v>
      </c>
      <c r="D34" t="inlineStr">
        <is>
          <t>KALMAR LÄN</t>
        </is>
      </c>
      <c r="E34" t="inlineStr">
        <is>
          <t>MÖRBYLÅNGA</t>
        </is>
      </c>
      <c r="G34" t="n">
        <v>1</v>
      </c>
      <c r="H34" t="n">
        <v>0</v>
      </c>
      <c r="I34" t="n">
        <v>0</v>
      </c>
      <c r="J34" t="n">
        <v>0</v>
      </c>
      <c r="K34" t="n">
        <v>0</v>
      </c>
      <c r="L34" t="n">
        <v>0</v>
      </c>
      <c r="M34" t="n">
        <v>0</v>
      </c>
      <c r="N34" t="n">
        <v>0</v>
      </c>
      <c r="O34" t="n">
        <v>0</v>
      </c>
      <c r="P34" t="n">
        <v>0</v>
      </c>
      <c r="Q34" t="n">
        <v>0</v>
      </c>
      <c r="R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2025-08-21T08:30:43Z</dcterms:created>
  <dcterms:modified xmlns:dcterms="http://purl.org/dc/terms/" xmlns:xsi="http://www.w3.org/2001/XMLSchema-instance" xsi:type="dcterms:W3CDTF">2025-08-21T08:30:43Z</dcterms:modified>
</cp:coreProperties>
</file>