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46066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46066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46066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46066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46066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46066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46066</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46066</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46066</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46066</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46066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46066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43714-2025</t>
        </is>
      </c>
      <c r="B14" s="1" t="n">
        <v>45912.40814814815</v>
      </c>
      <c r="C14" s="1" t="n">
        <v>46066</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39320-2024</t>
        </is>
      </c>
      <c r="B15" s="1" t="n">
        <v>45551</v>
      </c>
      <c r="C15" s="1" t="n">
        <v>46066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54167-2024</t>
        </is>
      </c>
      <c r="B16" s="1" t="n">
        <v>45616.62196759259</v>
      </c>
      <c r="C16" s="1" t="n">
        <v>46066</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60875-2025</t>
        </is>
      </c>
      <c r="B17" s="1" t="n">
        <v>45999.55524305555</v>
      </c>
      <c r="C17" s="1" t="n">
        <v>46066</v>
      </c>
      <c r="D17" t="inlineStr">
        <is>
          <t>KALMAR LÄN</t>
        </is>
      </c>
      <c r="E17" t="inlineStr">
        <is>
          <t>MÖRBYLÅNGA</t>
        </is>
      </c>
      <c r="G17" t="n">
        <v>2.1</v>
      </c>
      <c r="H17" t="n">
        <v>3</v>
      </c>
      <c r="I17" t="n">
        <v>0</v>
      </c>
      <c r="J17" t="n">
        <v>3</v>
      </c>
      <c r="K17" t="n">
        <v>0</v>
      </c>
      <c r="L17" t="n">
        <v>0</v>
      </c>
      <c r="M17" t="n">
        <v>0</v>
      </c>
      <c r="N17" t="n">
        <v>0</v>
      </c>
      <c r="O17" t="n">
        <v>3</v>
      </c>
      <c r="P17" t="n">
        <v>0</v>
      </c>
      <c r="Q17" t="n">
        <v>4</v>
      </c>
      <c r="R17" s="2" t="inlineStr">
        <is>
          <t>Grönsångare
Gulsparv
Svinrot
Gråkråka</t>
        </is>
      </c>
      <c r="S17">
        <f>HYPERLINK("https://klasma.github.io/Logging_0840/artfynd/A 60875-2025 artfynd.xlsx", "A 60875-2025")</f>
        <v/>
      </c>
      <c r="T17">
        <f>HYPERLINK("https://klasma.github.io/Logging_0840/kartor/A 60875-2025 karta.png", "A 60875-2025")</f>
        <v/>
      </c>
      <c r="V17">
        <f>HYPERLINK("https://klasma.github.io/Logging_0840/klagomål/A 60875-2025 FSC-klagomål.docx", "A 60875-2025")</f>
        <v/>
      </c>
      <c r="W17">
        <f>HYPERLINK("https://klasma.github.io/Logging_0840/klagomålsmail/A 60875-2025 FSC-klagomål mail.docx", "A 60875-2025")</f>
        <v/>
      </c>
      <c r="X17">
        <f>HYPERLINK("https://klasma.github.io/Logging_0840/tillsyn/A 60875-2025 tillsynsbegäran.docx", "A 60875-2025")</f>
        <v/>
      </c>
      <c r="Y17">
        <f>HYPERLINK("https://klasma.github.io/Logging_0840/tillsynsmail/A 60875-2025 tillsynsbegäran mail.docx", "A 60875-2025")</f>
        <v/>
      </c>
      <c r="Z17">
        <f>HYPERLINK("https://klasma.github.io/Logging_0840/fåglar/A 60875-2025 prioriterade fågelarter.docx", "A 60875-2025")</f>
        <v/>
      </c>
    </row>
    <row r="18" ht="15" customHeight="1">
      <c r="A18" t="inlineStr">
        <is>
          <t>A 52906-2021</t>
        </is>
      </c>
      <c r="B18" s="1" t="n">
        <v>44467</v>
      </c>
      <c r="C18" s="1" t="n">
        <v>46066</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46066</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2864-2026</t>
        </is>
      </c>
      <c r="B20" s="1" t="n">
        <v>46038</v>
      </c>
      <c r="C20" s="1" t="n">
        <v>46066</v>
      </c>
      <c r="D20" t="inlineStr">
        <is>
          <t>KALMAR LÄN</t>
        </is>
      </c>
      <c r="E20" t="inlineStr">
        <is>
          <t>MÖRBYLÅNGA</t>
        </is>
      </c>
      <c r="G20" t="n">
        <v>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2864-2026 artfynd.xlsx", "A 2864-2026")</f>
        <v/>
      </c>
      <c r="T20">
        <f>HYPERLINK("https://klasma.github.io/Logging_0840/kartor/A 2864-2026 karta.png", "A 2864-2026")</f>
        <v/>
      </c>
      <c r="V20">
        <f>HYPERLINK("https://klasma.github.io/Logging_0840/klagomål/A 2864-2026 FSC-klagomål.docx", "A 2864-2026")</f>
        <v/>
      </c>
      <c r="W20">
        <f>HYPERLINK("https://klasma.github.io/Logging_0840/klagomålsmail/A 2864-2026 FSC-klagomål mail.docx", "A 2864-2026")</f>
        <v/>
      </c>
      <c r="X20">
        <f>HYPERLINK("https://klasma.github.io/Logging_0840/tillsyn/A 2864-2026 tillsynsbegäran.docx", "A 2864-2026")</f>
        <v/>
      </c>
      <c r="Y20">
        <f>HYPERLINK("https://klasma.github.io/Logging_0840/tillsynsmail/A 2864-2026 tillsynsbegäran mail.docx", "A 2864-2026")</f>
        <v/>
      </c>
      <c r="Z20">
        <f>HYPERLINK("https://klasma.github.io/Logging_0840/fåglar/A 2864-2026 prioriterade fågelarter.docx", "A 2864-2026")</f>
        <v/>
      </c>
    </row>
    <row r="21" ht="15" customHeight="1">
      <c r="A21" t="inlineStr">
        <is>
          <t>A 61963-2025</t>
        </is>
      </c>
      <c r="B21" s="1" t="n">
        <v>46003</v>
      </c>
      <c r="C21" s="1" t="n">
        <v>46066</v>
      </c>
      <c r="D21" t="inlineStr">
        <is>
          <t>KALMAR LÄN</t>
        </is>
      </c>
      <c r="E21" t="inlineStr">
        <is>
          <t>MÖRBYLÅNGA</t>
        </is>
      </c>
      <c r="G21" t="n">
        <v>1.1</v>
      </c>
      <c r="H21" t="n">
        <v>2</v>
      </c>
      <c r="I21" t="n">
        <v>1</v>
      </c>
      <c r="J21" t="n">
        <v>1</v>
      </c>
      <c r="K21" t="n">
        <v>0</v>
      </c>
      <c r="L21" t="n">
        <v>0</v>
      </c>
      <c r="M21" t="n">
        <v>0</v>
      </c>
      <c r="N21" t="n">
        <v>0</v>
      </c>
      <c r="O21" t="n">
        <v>1</v>
      </c>
      <c r="P21" t="n">
        <v>0</v>
      </c>
      <c r="Q21" t="n">
        <v>3</v>
      </c>
      <c r="R21" s="2" t="inlineStr">
        <is>
          <t>Spillkråka
Mindre märgborre
Blåsippa</t>
        </is>
      </c>
      <c r="S21">
        <f>HYPERLINK("https://klasma.github.io/Logging_0840/artfynd/A 61963-2025 artfynd.xlsx", "A 61963-2025")</f>
        <v/>
      </c>
      <c r="T21">
        <f>HYPERLINK("https://klasma.github.io/Logging_0840/kartor/A 61963-2025 karta.png", "A 61963-2025")</f>
        <v/>
      </c>
      <c r="V21">
        <f>HYPERLINK("https://klasma.github.io/Logging_0840/klagomål/A 61963-2025 FSC-klagomål.docx", "A 61963-2025")</f>
        <v/>
      </c>
      <c r="W21">
        <f>HYPERLINK("https://klasma.github.io/Logging_0840/klagomålsmail/A 61963-2025 FSC-klagomål mail.docx", "A 61963-2025")</f>
        <v/>
      </c>
      <c r="X21">
        <f>HYPERLINK("https://klasma.github.io/Logging_0840/tillsyn/A 61963-2025 tillsynsbegäran.docx", "A 61963-2025")</f>
        <v/>
      </c>
      <c r="Y21">
        <f>HYPERLINK("https://klasma.github.io/Logging_0840/tillsynsmail/A 61963-2025 tillsynsbegäran mail.docx", "A 61963-2025")</f>
        <v/>
      </c>
      <c r="Z21">
        <f>HYPERLINK("https://klasma.github.io/Logging_0840/fåglar/A 61963-2025 prioriterade fågelarter.docx", "A 61963-2025")</f>
        <v/>
      </c>
    </row>
    <row r="22" ht="15" customHeight="1">
      <c r="A22" t="inlineStr">
        <is>
          <t>A 62231-2023</t>
        </is>
      </c>
      <c r="B22" s="1" t="n">
        <v>45267</v>
      </c>
      <c r="C22" s="1" t="n">
        <v>46066</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46066</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46066</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46066</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46066</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46066</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43702-2025</t>
        </is>
      </c>
      <c r="B28" s="1" t="n">
        <v>45912.40270833333</v>
      </c>
      <c r="C28" s="1" t="n">
        <v>46066</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43704-2025</t>
        </is>
      </c>
      <c r="B29" s="1" t="n">
        <v>45912.40490740741</v>
      </c>
      <c r="C29" s="1" t="n">
        <v>46066</v>
      </c>
      <c r="D29" t="inlineStr">
        <is>
          <t>KALMAR LÄN</t>
        </is>
      </c>
      <c r="E29" t="inlineStr">
        <is>
          <t>MÖRBYLÅNGA</t>
        </is>
      </c>
      <c r="G29" t="n">
        <v>2.7</v>
      </c>
      <c r="H29" t="n">
        <v>0</v>
      </c>
      <c r="I29" t="n">
        <v>1</v>
      </c>
      <c r="J29" t="n">
        <v>0</v>
      </c>
      <c r="K29" t="n">
        <v>0</v>
      </c>
      <c r="L29" t="n">
        <v>0</v>
      </c>
      <c r="M29" t="n">
        <v>0</v>
      </c>
      <c r="N29" t="n">
        <v>0</v>
      </c>
      <c r="O29" t="n">
        <v>0</v>
      </c>
      <c r="P29" t="n">
        <v>0</v>
      </c>
      <c r="Q29" t="n">
        <v>1</v>
      </c>
      <c r="R29" s="2" t="inlineStr">
        <is>
          <t>Blomkålssvamp</t>
        </is>
      </c>
      <c r="S29">
        <f>HYPERLINK("https://klasma.github.io/Logging_0840/artfynd/A 43704-2025 artfynd.xlsx", "A 43704-2025")</f>
        <v/>
      </c>
      <c r="T29">
        <f>HYPERLINK("https://klasma.github.io/Logging_0840/kartor/A 43704-2025 karta.png", "A 43704-2025")</f>
        <v/>
      </c>
      <c r="V29">
        <f>HYPERLINK("https://klasma.github.io/Logging_0840/klagomål/A 43704-2025 FSC-klagomål.docx", "A 43704-2025")</f>
        <v/>
      </c>
      <c r="W29">
        <f>HYPERLINK("https://klasma.github.io/Logging_0840/klagomålsmail/A 43704-2025 FSC-klagomål mail.docx", "A 43704-2025")</f>
        <v/>
      </c>
      <c r="X29">
        <f>HYPERLINK("https://klasma.github.io/Logging_0840/tillsyn/A 43704-2025 tillsynsbegäran.docx", "A 43704-2025")</f>
        <v/>
      </c>
      <c r="Y29">
        <f>HYPERLINK("https://klasma.github.io/Logging_0840/tillsynsmail/A 43704-2025 tillsynsbegäran mail.docx", "A 43704-2025")</f>
        <v/>
      </c>
    </row>
    <row r="30" ht="15" customHeight="1">
      <c r="A30" t="inlineStr">
        <is>
          <t>A 19459-2023</t>
        </is>
      </c>
      <c r="B30" s="1" t="n">
        <v>45049</v>
      </c>
      <c r="C30" s="1" t="n">
        <v>46066</v>
      </c>
      <c r="D30" t="inlineStr">
        <is>
          <t>KALMAR LÄN</t>
        </is>
      </c>
      <c r="E30" t="inlineStr">
        <is>
          <t>MÖRBYLÅNGA</t>
        </is>
      </c>
      <c r="G30" t="n">
        <v>1.6</v>
      </c>
      <c r="H30" t="n">
        <v>0</v>
      </c>
      <c r="I30" t="n">
        <v>0</v>
      </c>
      <c r="J30" t="n">
        <v>0</v>
      </c>
      <c r="K30" t="n">
        <v>1</v>
      </c>
      <c r="L30" t="n">
        <v>0</v>
      </c>
      <c r="M30" t="n">
        <v>0</v>
      </c>
      <c r="N30" t="n">
        <v>0</v>
      </c>
      <c r="O30" t="n">
        <v>1</v>
      </c>
      <c r="P30" t="n">
        <v>1</v>
      </c>
      <c r="Q30" t="n">
        <v>1</v>
      </c>
      <c r="R30" s="2" t="inlineStr">
        <is>
          <t>Luddvicker</t>
        </is>
      </c>
      <c r="S30">
        <f>HYPERLINK("https://klasma.github.io/Logging_0840/artfynd/A 19459-2023 artfynd.xlsx", "A 19459-2023")</f>
        <v/>
      </c>
      <c r="T30">
        <f>HYPERLINK("https://klasma.github.io/Logging_0840/kartor/A 19459-2023 karta.png", "A 19459-2023")</f>
        <v/>
      </c>
      <c r="V30">
        <f>HYPERLINK("https://klasma.github.io/Logging_0840/klagomål/A 19459-2023 FSC-klagomål.docx", "A 19459-2023")</f>
        <v/>
      </c>
      <c r="W30">
        <f>HYPERLINK("https://klasma.github.io/Logging_0840/klagomålsmail/A 19459-2023 FSC-klagomål mail.docx", "A 19459-2023")</f>
        <v/>
      </c>
      <c r="X30">
        <f>HYPERLINK("https://klasma.github.io/Logging_0840/tillsyn/A 19459-2023 tillsynsbegäran.docx", "A 19459-2023")</f>
        <v/>
      </c>
      <c r="Y30">
        <f>HYPERLINK("https://klasma.github.io/Logging_0840/tillsynsmail/A 19459-2023 tillsynsbegäran mail.docx", "A 19459-2023")</f>
        <v/>
      </c>
    </row>
    <row r="31" ht="15" customHeight="1">
      <c r="A31" t="inlineStr">
        <is>
          <t>A 26876-2022</t>
        </is>
      </c>
      <c r="B31" s="1" t="n">
        <v>44740</v>
      </c>
      <c r="C31" s="1" t="n">
        <v>46066</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46066</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46066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46066</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46066</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46066</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5733-2026</t>
        </is>
      </c>
      <c r="B37" s="1" t="n">
        <v>46051.5745949074</v>
      </c>
      <c r="C37" s="1" t="n">
        <v>46066</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row r="38">
      <c r="A38" t="inlineStr">
        <is>
          <t>A 72167-2021</t>
        </is>
      </c>
      <c r="B38" s="1" t="n">
        <v>44544</v>
      </c>
      <c r="C38" s="1" t="n">
        <v>46066</v>
      </c>
      <c r="D38" t="inlineStr">
        <is>
          <t>KALMAR LÄN</t>
        </is>
      </c>
      <c r="E38" t="inlineStr">
        <is>
          <t>MÖRBYLÅNGA</t>
        </is>
      </c>
      <c r="G38" t="n">
        <v>3.5</v>
      </c>
      <c r="H38" t="n">
        <v>0</v>
      </c>
      <c r="I38" t="n">
        <v>0</v>
      </c>
      <c r="J38" t="n">
        <v>0</v>
      </c>
      <c r="K38" t="n">
        <v>0</v>
      </c>
      <c r="L38" t="n">
        <v>0</v>
      </c>
      <c r="M38" t="n">
        <v>0</v>
      </c>
      <c r="N38" t="n">
        <v>0</v>
      </c>
      <c r="O38" t="n">
        <v>0</v>
      </c>
      <c r="P38" t="n">
        <v>0</v>
      </c>
      <c r="Q38" t="n">
        <v>0</v>
      </c>
      <c r="R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2026-02-13T11:02:09Z</dcterms:created>
  <dcterms:modified xmlns:dcterms="http://purl.org/dc/terms/" xmlns:xsi="http://www.w3.org/2001/XMLSchema-instance" xsi:type="dcterms:W3CDTF">2026-02-13T11:02:09Z</dcterms:modified>
</cp:coreProperties>
</file>