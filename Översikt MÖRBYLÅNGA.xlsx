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46082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46082</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46082</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46082</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46082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46082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46082</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46082</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46082</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46082</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46082</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46082</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46082</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54167-2024</t>
        </is>
      </c>
      <c r="B15" s="1" t="n">
        <v>45616.62196759259</v>
      </c>
      <c r="C15" s="1" t="n">
        <v>46082</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46082</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46082</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2864-2026</t>
        </is>
      </c>
      <c r="B18" s="1" t="n">
        <v>46038</v>
      </c>
      <c r="C18" s="1" t="n">
        <v>46082</v>
      </c>
      <c r="D18" t="inlineStr">
        <is>
          <t>KALMAR LÄN</t>
        </is>
      </c>
      <c r="E18" t="inlineStr">
        <is>
          <t>MÖRBYLÅNGA</t>
        </is>
      </c>
      <c r="G18" t="n">
        <v>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2864-2026 artfynd.xlsx", "A 2864-2026")</f>
        <v/>
      </c>
      <c r="T18">
        <f>HYPERLINK("https://klasma.github.io/Logging_0840/kartor/A 2864-2026 karta.png", "A 2864-2026")</f>
        <v/>
      </c>
      <c r="V18">
        <f>HYPERLINK("https://klasma.github.io/Logging_0840/klagomål/A 2864-2026 FSC-klagomål.docx", "A 2864-2026")</f>
        <v/>
      </c>
      <c r="W18">
        <f>HYPERLINK("https://klasma.github.io/Logging_0840/klagomålsmail/A 2864-2026 FSC-klagomål mail.docx", "A 2864-2026")</f>
        <v/>
      </c>
      <c r="X18">
        <f>HYPERLINK("https://klasma.github.io/Logging_0840/tillsyn/A 2864-2026 tillsynsbegäran.docx", "A 2864-2026")</f>
        <v/>
      </c>
      <c r="Y18">
        <f>HYPERLINK("https://klasma.github.io/Logging_0840/tillsynsmail/A 2864-2026 tillsynsbegäran mail.docx", "A 2864-2026")</f>
        <v/>
      </c>
      <c r="Z18">
        <f>HYPERLINK("https://klasma.github.io/Logging_0840/fåglar/A 2864-2026 prioriterade fågelarter.docx", "A 2864-2026")</f>
        <v/>
      </c>
    </row>
    <row r="19" ht="15" customHeight="1">
      <c r="A19" t="inlineStr">
        <is>
          <t>A 61963-2025</t>
        </is>
      </c>
      <c r="B19" s="1" t="n">
        <v>46003</v>
      </c>
      <c r="C19" s="1" t="n">
        <v>46082</v>
      </c>
      <c r="D19" t="inlineStr">
        <is>
          <t>KALMAR LÄN</t>
        </is>
      </c>
      <c r="E19" t="inlineStr">
        <is>
          <t>MÖRBYLÅNGA</t>
        </is>
      </c>
      <c r="G19" t="n">
        <v>1.1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61963-2025 artfynd.xlsx", "A 61963-2025")</f>
        <v/>
      </c>
      <c r="T19">
        <f>HYPERLINK("https://klasma.github.io/Logging_0840/kartor/A 61963-2025 karta.png", "A 61963-2025")</f>
        <v/>
      </c>
      <c r="V19">
        <f>HYPERLINK("https://klasma.github.io/Logging_0840/klagomål/A 61963-2025 FSC-klagomål.docx", "A 61963-2025")</f>
        <v/>
      </c>
      <c r="W19">
        <f>HYPERLINK("https://klasma.github.io/Logging_0840/klagomålsmail/A 61963-2025 FSC-klagomål mail.docx", "A 61963-2025")</f>
        <v/>
      </c>
      <c r="X19">
        <f>HYPERLINK("https://klasma.github.io/Logging_0840/tillsyn/A 61963-2025 tillsynsbegäran.docx", "A 61963-2025")</f>
        <v/>
      </c>
      <c r="Y19">
        <f>HYPERLINK("https://klasma.github.io/Logging_0840/tillsynsmail/A 61963-2025 tillsynsbegäran mail.docx", "A 61963-2025")</f>
        <v/>
      </c>
      <c r="Z19">
        <f>HYPERLINK("https://klasma.github.io/Logging_0840/fåglar/A 61963-2025 prioriterade fågelarter.docx", "A 61963-2025")</f>
        <v/>
      </c>
    </row>
    <row r="20" ht="15" customHeight="1">
      <c r="A20" t="inlineStr">
        <is>
          <t>A 35242-2024</t>
        </is>
      </c>
      <c r="B20" s="1" t="n">
        <v>45530.55440972222</v>
      </c>
      <c r="C20" s="1" t="n">
        <v>46082</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46082</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46082</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46082</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54192-2021</t>
        </is>
      </c>
      <c r="B24" s="1" t="n">
        <v>44470</v>
      </c>
      <c r="C24" s="1" t="n">
        <v>46082</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46082</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46082</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46082</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46082</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46082</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46082</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46082</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46082</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46082</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46082</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ht="15" customHeight="1">
      <c r="A35" t="inlineStr">
        <is>
          <t>A 57407-2025</t>
        </is>
      </c>
      <c r="B35" s="1" t="n">
        <v>45980.44351851852</v>
      </c>
      <c r="C35" s="1" t="n">
        <v>46082</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62183-2025</t>
        </is>
      </c>
      <c r="B36" s="1" t="n">
        <v>46006.5356712963</v>
      </c>
      <c r="C36" s="1" t="n">
        <v>46082</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c r="A37" t="inlineStr">
        <is>
          <t>A 5733-2026</t>
        </is>
      </c>
      <c r="B37" s="1" t="n">
        <v>46051.5745949074</v>
      </c>
      <c r="C37" s="1" t="n">
        <v>46082</v>
      </c>
      <c r="D37" t="inlineStr">
        <is>
          <t>KALMAR LÄN</t>
        </is>
      </c>
      <c r="E37" t="inlineStr">
        <is>
          <t>MÖRBYLÅNGA</t>
        </is>
      </c>
      <c r="G37" t="n">
        <v>1.1</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2026-03-01T11:06:51Z</dcterms:created>
  <dcterms:modified xmlns:dcterms="http://purl.org/dc/terms/" xmlns:xsi="http://www.w3.org/2001/XMLSchema-instance" xsi:type="dcterms:W3CDTF">2026-03-01T11:06:51Z</dcterms:modified>
</cp:coreProperties>
</file>