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461-2023</t>
        </is>
      </c>
      <c r="B2" t="inlineStr">
        <is>
          <t>samrådsanmälan</t>
        </is>
      </c>
      <c r="C2" t="inlineStr">
        <is>
          <t>Annan skogsbruksåtgärd</t>
        </is>
      </c>
      <c r="D2" s="1" t="n">
        <v>44964</v>
      </c>
      <c r="E2" s="1" t="n">
        <v>46216</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2">
        <f>HYPERLINK("https://klasma.github.io/Logging_0840/artfynd/S 461-2023 artfynd.xlsx", "S 461-2023")</f>
        <v/>
      </c>
      <c r="W2">
        <f>HYPERLINK("https://klasma.github.io/Logging_0840/kartor/S 461-2023 karta.png", "S 461-2023")</f>
        <v/>
      </c>
      <c r="Y2">
        <f>HYPERLINK("https://klasma.github.io/Logging_0840/klagomål/S 461-2023 FSC-klagomål.docx", "S 461-2023")</f>
        <v/>
      </c>
      <c r="Z2">
        <f>HYPERLINK("https://klasma.github.io/Logging_0840/klagomålsmail/S 461-2023 FSC-klagomål mail.docx", "S 461-2023")</f>
        <v/>
      </c>
      <c r="AA2">
        <f>HYPERLINK("https://klasma.github.io/Logging_0840/tillsyn/S 461-2023 tillsynsbegäran.docx", "S 461-2023")</f>
        <v/>
      </c>
      <c r="AB2">
        <f>HYPERLINK("https://klasma.github.io/Logging_0840/tillsynsmail/S 461-2023 tillsynsbegäran mail.docx", "S 461-2023")</f>
        <v/>
      </c>
      <c r="AC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46216</v>
      </c>
      <c r="F3" t="inlineStr">
        <is>
          <t>KALMAR LÄN</t>
        </is>
      </c>
      <c r="G3" t="inlineStr">
        <is>
          <t>MÖRBYLÅNGA</t>
        </is>
      </c>
      <c r="I3" t="n">
        <v>6.3</v>
      </c>
      <c r="J3" t="n">
        <v>15</v>
      </c>
      <c r="K3" t="n">
        <v>5</v>
      </c>
      <c r="L3" t="n">
        <v>20</v>
      </c>
      <c r="M3" t="n">
        <v>9</v>
      </c>
      <c r="N3" t="n">
        <v>2</v>
      </c>
      <c r="O3" t="n">
        <v>0</v>
      </c>
      <c r="P3" t="n">
        <v>0</v>
      </c>
      <c r="Q3" t="n">
        <v>31</v>
      </c>
      <c r="R3" t="n">
        <v>11</v>
      </c>
      <c r="S3" t="n">
        <v>46</v>
      </c>
      <c r="T3" t="n">
        <v>61</v>
      </c>
      <c r="U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3">
        <f>HYPERLINK("https://klasma.github.io/Logging_0840/artfynd/S 1761-2022 artfynd.xlsx", "S 1761-2022")</f>
        <v/>
      </c>
      <c r="W3">
        <f>HYPERLINK("https://klasma.github.io/Logging_0840/kartor/S 1761-2022 karta.png", "S 1761-2022")</f>
        <v/>
      </c>
      <c r="Y3">
        <f>HYPERLINK("https://klasma.github.io/Logging_0840/klagomål/S 1761-2022 FSC-klagomål.docx", "S 1761-2022")</f>
        <v/>
      </c>
      <c r="Z3">
        <f>HYPERLINK("https://klasma.github.io/Logging_0840/klagomålsmail/S 1761-2022 FSC-klagomål mail.docx", "S 1761-2022")</f>
        <v/>
      </c>
      <c r="AA3">
        <f>HYPERLINK("https://klasma.github.io/Logging_0840/tillsyn/S 1761-2022 tillsynsbegäran.docx", "S 1761-2022")</f>
        <v/>
      </c>
      <c r="AB3">
        <f>HYPERLINK("https://klasma.github.io/Logging_0840/tillsynsmail/S 1761-2022 tillsynsbegäran mail.docx", "S 1761-2022")</f>
        <v/>
      </c>
      <c r="AC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46216</v>
      </c>
      <c r="F4" t="inlineStr">
        <is>
          <t>KALMAR LÄN</t>
        </is>
      </c>
      <c r="G4" t="inlineStr">
        <is>
          <t>MÖRBYLÅNGA</t>
        </is>
      </c>
      <c r="I4" t="n">
        <v>1.5</v>
      </c>
      <c r="J4" t="n">
        <v>4</v>
      </c>
      <c r="K4" t="n">
        <v>2</v>
      </c>
      <c r="L4" t="n">
        <v>29</v>
      </c>
      <c r="M4" t="n">
        <v>9</v>
      </c>
      <c r="N4" t="n">
        <v>4</v>
      </c>
      <c r="O4" t="n">
        <v>0</v>
      </c>
      <c r="P4" t="n">
        <v>0</v>
      </c>
      <c r="Q4" t="n">
        <v>42</v>
      </c>
      <c r="R4" t="n">
        <v>13</v>
      </c>
      <c r="S4" t="n">
        <v>45</v>
      </c>
      <c r="T4" t="n">
        <v>69</v>
      </c>
      <c r="U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4">
        <f>HYPERLINK("https://klasma.github.io/Logging_0840/artfynd/A 42099-2023 artfynd.xlsx", "A 42099-2023")</f>
        <v/>
      </c>
      <c r="W4">
        <f>HYPERLINK("https://klasma.github.io/Logging_0840/kartor/A 42099-2023 karta.png", "A 42099-2023")</f>
        <v/>
      </c>
      <c r="Y4">
        <f>HYPERLINK("https://klasma.github.io/Logging_0840/klagomål/A 42099-2023 FSC-klagomål.docx", "A 42099-2023")</f>
        <v/>
      </c>
      <c r="Z4">
        <f>HYPERLINK("https://klasma.github.io/Logging_0840/klagomålsmail/A 42099-2023 FSC-klagomål mail.docx", "A 42099-2023")</f>
        <v/>
      </c>
      <c r="AA4">
        <f>HYPERLINK("https://klasma.github.io/Logging_0840/tillsyn/A 42099-2023 tillsynsbegäran.docx", "A 42099-2023")</f>
        <v/>
      </c>
      <c r="AB4">
        <f>HYPERLINK("https://klasma.github.io/Logging_0840/tillsynsmail/A 42099-2023 tillsynsbegäran mail.docx", "A 42099-2023")</f>
        <v/>
      </c>
      <c r="AC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46216</v>
      </c>
      <c r="F5" t="inlineStr">
        <is>
          <t>KALMAR LÄN</t>
        </is>
      </c>
      <c r="G5" t="inlineStr">
        <is>
          <t>MÖRBYLÅNGA</t>
        </is>
      </c>
      <c r="I5" t="n">
        <v>10.5</v>
      </c>
      <c r="J5" t="n">
        <v>9</v>
      </c>
      <c r="K5" t="n">
        <v>16</v>
      </c>
      <c r="L5" t="n">
        <v>11</v>
      </c>
      <c r="M5" t="n">
        <v>8</v>
      </c>
      <c r="N5" t="n">
        <v>3</v>
      </c>
      <c r="O5" t="n">
        <v>1</v>
      </c>
      <c r="P5" t="n">
        <v>0</v>
      </c>
      <c r="Q5" t="n">
        <v>23</v>
      </c>
      <c r="R5" t="n">
        <v>12</v>
      </c>
      <c r="S5" t="n">
        <v>45</v>
      </c>
      <c r="T5" t="n">
        <v>169</v>
      </c>
      <c r="U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5">
        <f>HYPERLINK("https://klasma.github.io/Logging_0840/artfynd/S 2110-2023 artfynd.xlsx", "S 2110-2023")</f>
        <v/>
      </c>
      <c r="W5">
        <f>HYPERLINK("https://klasma.github.io/Logging_0840/kartor/S 2110-2023 karta.png", "S 2110-2023")</f>
        <v/>
      </c>
      <c r="Y5">
        <f>HYPERLINK("https://klasma.github.io/Logging_0840/klagomål/S 2110-2023 FSC-klagomål.docx", "S 2110-2023")</f>
        <v/>
      </c>
      <c r="Z5">
        <f>HYPERLINK("https://klasma.github.io/Logging_0840/klagomålsmail/S 2110-2023 FSC-klagomål mail.docx", "S 2110-2023")</f>
        <v/>
      </c>
      <c r="AA5">
        <f>HYPERLINK("https://klasma.github.io/Logging_0840/tillsyn/S 2110-2023 tillsynsbegäran.docx", "S 2110-2023")</f>
        <v/>
      </c>
      <c r="AB5">
        <f>HYPERLINK("https://klasma.github.io/Logging_0840/tillsynsmail/S 2110-2023 tillsynsbegäran mail.docx", "S 2110-2023")</f>
        <v/>
      </c>
      <c r="AC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46216</v>
      </c>
      <c r="F6" t="inlineStr">
        <is>
          <t>KALMAR LÄN</t>
        </is>
      </c>
      <c r="G6" t="inlineStr">
        <is>
          <t>MÖRBYLÅNGA</t>
        </is>
      </c>
      <c r="I6" t="n">
        <v>7.3</v>
      </c>
      <c r="J6" t="n">
        <v>10</v>
      </c>
      <c r="K6" t="n">
        <v>7</v>
      </c>
      <c r="L6" t="n">
        <v>18</v>
      </c>
      <c r="M6" t="n">
        <v>3</v>
      </c>
      <c r="N6" t="n">
        <v>2</v>
      </c>
      <c r="O6" t="n">
        <v>1</v>
      </c>
      <c r="P6" t="n">
        <v>0</v>
      </c>
      <c r="Q6" t="n">
        <v>24</v>
      </c>
      <c r="R6" t="n">
        <v>6</v>
      </c>
      <c r="S6" t="n">
        <v>36</v>
      </c>
      <c r="T6" t="n">
        <v>182</v>
      </c>
      <c r="U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6">
        <f>HYPERLINK("https://klasma.github.io/Logging_0840/artfynd/A 4152-2025 artfynd.xlsx", "A 4152-2025")</f>
        <v/>
      </c>
      <c r="W6">
        <f>HYPERLINK("https://klasma.github.io/Logging_0840/kartor/A 4152-2025 karta.png", "A 4152-2025")</f>
        <v/>
      </c>
      <c r="X6">
        <f>HYPERLINK("https://klasma.github.io/Logging_0840/knärot/A 4152-2025 karta knärot.png", "A 4152-2025")</f>
        <v/>
      </c>
      <c r="Y6">
        <f>HYPERLINK("https://klasma.github.io/Logging_0840/klagomål/A 4152-2025 FSC-klagomål.docx", "A 4152-2025")</f>
        <v/>
      </c>
      <c r="Z6">
        <f>HYPERLINK("https://klasma.github.io/Logging_0840/klagomålsmail/A 4152-2025 FSC-klagomål mail.docx", "A 4152-2025")</f>
        <v/>
      </c>
      <c r="AA6">
        <f>HYPERLINK("https://klasma.github.io/Logging_0840/tillsyn/A 4152-2025 tillsynsbegäran.docx", "A 4152-2025")</f>
        <v/>
      </c>
      <c r="AB6">
        <f>HYPERLINK("https://klasma.github.io/Logging_0840/tillsynsmail/A 4152-2025 tillsynsbegäran mail.docx", "A 4152-2025")</f>
        <v/>
      </c>
      <c r="AC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46216</v>
      </c>
      <c r="F7" t="inlineStr">
        <is>
          <t>KALMAR LÄN</t>
        </is>
      </c>
      <c r="G7" t="inlineStr">
        <is>
          <t>MÖRBYLÅNGA</t>
        </is>
      </c>
      <c r="I7" t="n">
        <v>0.7</v>
      </c>
      <c r="J7" t="n">
        <v>8</v>
      </c>
      <c r="K7" t="n">
        <v>7</v>
      </c>
      <c r="L7" t="n">
        <v>10</v>
      </c>
      <c r="M7" t="n">
        <v>0</v>
      </c>
      <c r="N7" t="n">
        <v>0</v>
      </c>
      <c r="O7" t="n">
        <v>0</v>
      </c>
      <c r="P7" t="n">
        <v>0</v>
      </c>
      <c r="Q7" t="n">
        <v>10</v>
      </c>
      <c r="R7" t="n">
        <v>0</v>
      </c>
      <c r="S7" t="n">
        <v>21</v>
      </c>
      <c r="T7" t="n">
        <v>43</v>
      </c>
      <c r="U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7">
        <f>HYPERLINK("https://klasma.github.io/Logging_0840/artfynd/A 27865-2024 artfynd.xlsx", "A 27865-2024")</f>
        <v/>
      </c>
      <c r="W7">
        <f>HYPERLINK("https://klasma.github.io/Logging_0840/kartor/A 27865-2024 karta.png", "A 27865-2024")</f>
        <v/>
      </c>
      <c r="Y7">
        <f>HYPERLINK("https://klasma.github.io/Logging_0840/klagomål/A 27865-2024 FSC-klagomål.docx", "A 27865-2024")</f>
        <v/>
      </c>
      <c r="Z7">
        <f>HYPERLINK("https://klasma.github.io/Logging_0840/klagomålsmail/A 27865-2024 FSC-klagomål mail.docx", "A 27865-2024")</f>
        <v/>
      </c>
      <c r="AA7">
        <f>HYPERLINK("https://klasma.github.io/Logging_0840/tillsyn/A 27865-2024 tillsynsbegäran.docx", "A 27865-2024")</f>
        <v/>
      </c>
      <c r="AB7">
        <f>HYPERLINK("https://klasma.github.io/Logging_0840/tillsynsmail/A 27865-2024 tillsynsbegäran mail.docx", "A 27865-2024")</f>
        <v/>
      </c>
      <c r="AC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46216</v>
      </c>
      <c r="F8" t="inlineStr">
        <is>
          <t>KALMAR LÄN</t>
        </is>
      </c>
      <c r="G8" t="inlineStr">
        <is>
          <t>MÖRBYLÅNGA</t>
        </is>
      </c>
      <c r="I8" t="n">
        <v>2.6</v>
      </c>
      <c r="J8" t="n">
        <v>7</v>
      </c>
      <c r="K8" t="n">
        <v>10</v>
      </c>
      <c r="L8" t="n">
        <v>5</v>
      </c>
      <c r="M8" t="n">
        <v>1</v>
      </c>
      <c r="N8" t="n">
        <v>1</v>
      </c>
      <c r="O8" t="n">
        <v>0</v>
      </c>
      <c r="P8" t="n">
        <v>0</v>
      </c>
      <c r="Q8" t="n">
        <v>7</v>
      </c>
      <c r="R8" t="n">
        <v>2</v>
      </c>
      <c r="S8" t="n">
        <v>20</v>
      </c>
      <c r="T8" t="n">
        <v>94</v>
      </c>
      <c r="U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8">
        <f>HYPERLINK("https://klasma.github.io/Logging_0840/artfynd/A 21219-2023 artfynd.xlsx", "A 21219-2023")</f>
        <v/>
      </c>
      <c r="W8">
        <f>HYPERLINK("https://klasma.github.io/Logging_0840/kartor/A 21219-2023 karta.png", "A 21219-2023")</f>
        <v/>
      </c>
      <c r="Y8">
        <f>HYPERLINK("https://klasma.github.io/Logging_0840/klagomål/A 21219-2023 FSC-klagomål.docx", "A 21219-2023")</f>
        <v/>
      </c>
      <c r="Z8">
        <f>HYPERLINK("https://klasma.github.io/Logging_0840/klagomålsmail/A 21219-2023 FSC-klagomål mail.docx", "A 21219-2023")</f>
        <v/>
      </c>
      <c r="AA8">
        <f>HYPERLINK("https://klasma.github.io/Logging_0840/tillsyn/A 21219-2023 tillsynsbegäran.docx", "A 21219-2023")</f>
        <v/>
      </c>
      <c r="AB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46216</v>
      </c>
      <c r="F9" t="inlineStr">
        <is>
          <t>KALMAR LÄN</t>
        </is>
      </c>
      <c r="G9" t="inlineStr">
        <is>
          <t>MÖRBYLÅNGA</t>
        </is>
      </c>
      <c r="I9" t="n">
        <v>8.4</v>
      </c>
      <c r="J9" t="n">
        <v>8</v>
      </c>
      <c r="K9" t="n">
        <v>2</v>
      </c>
      <c r="L9" t="n">
        <v>10</v>
      </c>
      <c r="M9" t="n">
        <v>0</v>
      </c>
      <c r="N9" t="n">
        <v>0</v>
      </c>
      <c r="O9" t="n">
        <v>0</v>
      </c>
      <c r="P9" t="n">
        <v>0</v>
      </c>
      <c r="Q9" t="n">
        <v>10</v>
      </c>
      <c r="R9" t="n">
        <v>0</v>
      </c>
      <c r="S9" t="n">
        <v>19</v>
      </c>
      <c r="T9" t="n">
        <v>20</v>
      </c>
      <c r="U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9">
        <f>HYPERLINK("https://klasma.github.io/Logging_0840/artfynd/A 28146-2026 artfynd.xlsx", "A 28146-2026")</f>
        <v/>
      </c>
      <c r="W9">
        <f>HYPERLINK("https://klasma.github.io/Logging_0840/kartor/A 28146-2026 karta.png", "A 28146-2026")</f>
        <v/>
      </c>
      <c r="Y9">
        <f>HYPERLINK("https://klasma.github.io/Logging_0840/klagomål/A 28146-2026 FSC-klagomål.docx", "A 28146-2026")</f>
        <v/>
      </c>
      <c r="Z9">
        <f>HYPERLINK("https://klasma.github.io/Logging_0840/klagomålsmail/A 28146-2026 FSC-klagomål mail.docx", "A 28146-2026")</f>
        <v/>
      </c>
      <c r="AA9">
        <f>HYPERLINK("https://klasma.github.io/Logging_0840/tillsyn/A 28146-2026 tillsynsbegäran.docx", "A 28146-2026")</f>
        <v/>
      </c>
      <c r="AB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46216</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s="2" t="inlineStr">
        <is>
          <t>Ask
Fyllitspindling
Lundalm
Skogsalm
Sötdoftande spindling
Elastisk spindling
Frostspindling
Karamellspindling
Grisspindling
Munkspindling
Pilfotsspindling
Slottsspindling
Vippärt
Vårärt
Lindspindling
Murgröna
Strävlosta
Underviol
Blåsippa</t>
        </is>
      </c>
      <c r="V10">
        <f>HYPERLINK("https://klasma.github.io/Logging_0840/artfynd/S 1766-2026 artfynd.xlsx", "S 1766-2026")</f>
        <v/>
      </c>
      <c r="W10">
        <f>HYPERLINK("https://klasma.github.io/Logging_0840/kartor/S 1766-2026 karta.png", "S 1766-2026")</f>
        <v/>
      </c>
      <c r="Y10">
        <f>HYPERLINK("https://klasma.github.io/Logging_0840/klagomål/S 1766-2026 FSC-klagomål.docx", "S 1766-2026")</f>
        <v/>
      </c>
      <c r="Z10">
        <f>HYPERLINK("https://klasma.github.io/Logging_0840/klagomålsmail/S 1766-2026 FSC-klagomål mail.docx", "S 1766-2026")</f>
        <v/>
      </c>
      <c r="AA10">
        <f>HYPERLINK("https://klasma.github.io/Logging_0840/tillsyn/S 1766-2026 tillsynsbegäran.docx", "S 1766-2026")</f>
        <v/>
      </c>
      <c r="AB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46216</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s="2" t="inlineStr">
        <is>
          <t>Grönfink
Tornseglare
Björktrast
Grönsångare
Göktyta
Järnsparv
Rödvingetrast
Sädesärla
Nattskärra
Spillkråka
Gröngöling
Grönsiska
Kungsfågel
Svartvit flugsnappare
Trädlärka
Ärtsångare</t>
        </is>
      </c>
      <c r="V11">
        <f>HYPERLINK("https://klasma.github.io/Logging_0840/artfynd/A 59540-2023 artfynd.xlsx", "A 59540-2023")</f>
        <v/>
      </c>
      <c r="W11">
        <f>HYPERLINK("https://klasma.github.io/Logging_0840/kartor/A 59540-2023 karta.png", "A 59540-2023")</f>
        <v/>
      </c>
      <c r="Y11">
        <f>HYPERLINK("https://klasma.github.io/Logging_0840/klagomål/A 59540-2023 FSC-klagomål.docx", "A 59540-2023")</f>
        <v/>
      </c>
      <c r="Z11">
        <f>HYPERLINK("https://klasma.github.io/Logging_0840/klagomålsmail/A 59540-2023 FSC-klagomål mail.docx", "A 59540-2023")</f>
        <v/>
      </c>
      <c r="AA11">
        <f>HYPERLINK("https://klasma.github.io/Logging_0840/tillsyn/A 59540-2023 tillsynsbegäran.docx", "A 59540-2023")</f>
        <v/>
      </c>
      <c r="AB11">
        <f>HYPERLINK("https://klasma.github.io/Logging_0840/tillsynsmail/A 59540-2023 tillsynsbegäran mail.docx", "A 59540-2023")</f>
        <v/>
      </c>
      <c r="AC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46216</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s="2" t="inlineStr">
        <is>
          <t>Grisspindling
Mjölspindling
Svart askbastborre
Sårläka
Tallticka
Guldlockmossa
Hasselticka
Mindre märgborre
Murgröna
Platt fjädermossa
Skogsknipprot
Blåsippa
Spillkråka
Gullviva</t>
        </is>
      </c>
      <c r="V12">
        <f>HYPERLINK("https://klasma.github.io/Logging_0840/artfynd/A 21214-2023 artfynd.xlsx", "A 21214-2023")</f>
        <v/>
      </c>
      <c r="W12">
        <f>HYPERLINK("https://klasma.github.io/Logging_0840/kartor/A 21214-2023 karta.png", "A 21214-2023")</f>
        <v/>
      </c>
      <c r="Y12">
        <f>HYPERLINK("https://klasma.github.io/Logging_0840/klagomål/A 21214-2023 FSC-klagomål.docx", "A 21214-2023")</f>
        <v/>
      </c>
      <c r="Z12">
        <f>HYPERLINK("https://klasma.github.io/Logging_0840/klagomålsmail/A 21214-2023 FSC-klagomål mail.docx", "A 21214-2023")</f>
        <v/>
      </c>
      <c r="AA12">
        <f>HYPERLINK("https://klasma.github.io/Logging_0840/tillsyn/A 21214-2023 tillsynsbegäran.docx", "A 21214-2023")</f>
        <v/>
      </c>
      <c r="AB12">
        <f>HYPERLINK("https://klasma.github.io/Logging_0840/tillsynsmail/A 21214-2023 tillsynsbegäran mail.docx", "A 21214-2023")</f>
        <v/>
      </c>
      <c r="AC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46216</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s="2" t="inlineStr">
        <is>
          <t>Skogsalm
Entita
Roststumpbagge
Kragjordstjärna
Scharlakansskål
Halsbandsflugsnappare
Havsörn
Kungsfågel
Röd glada
Skogsduva
Huggorm
Kopparödla</t>
        </is>
      </c>
      <c r="V13">
        <f>HYPERLINK("https://klasma.github.io/Logging_0840/artfynd/A 63779-2021 artfynd.xlsx", "A 63779-2021")</f>
        <v/>
      </c>
      <c r="W13">
        <f>HYPERLINK("https://klasma.github.io/Logging_0840/kartor/A 63779-2021 karta.png", "A 63779-2021")</f>
        <v/>
      </c>
      <c r="Y13">
        <f>HYPERLINK("https://klasma.github.io/Logging_0840/klagomål/A 63779-2021 FSC-klagomål.docx", "A 63779-2021")</f>
        <v/>
      </c>
      <c r="Z13">
        <f>HYPERLINK("https://klasma.github.io/Logging_0840/klagomålsmail/A 63779-2021 FSC-klagomål mail.docx", "A 63779-2021")</f>
        <v/>
      </c>
      <c r="AA13">
        <f>HYPERLINK("https://klasma.github.io/Logging_0840/tillsyn/A 63779-2021 tillsynsbegäran.docx", "A 63779-2021")</f>
        <v/>
      </c>
      <c r="AB13">
        <f>HYPERLINK("https://klasma.github.io/Logging_0840/tillsynsmail/A 63779-2021 tillsynsbegäran mail.docx", "A 63779-2021")</f>
        <v/>
      </c>
      <c r="AC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46216</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s="2" t="inlineStr">
        <is>
          <t>Beryllspindling
Elastisk spindling
Grönkantad spindling
Gulprickig vaxskivling
Gulsparv
Järnsparv
Rödvingetrast
Lindspindling
Murgröna
Blåsippa
Näktergal</t>
        </is>
      </c>
      <c r="V14">
        <f>HYPERLINK("https://klasma.github.io/Logging_0840/artfynd/A 52906-2021 artfynd.xlsx", "A 52906-2021")</f>
        <v/>
      </c>
      <c r="W14">
        <f>HYPERLINK("https://klasma.github.io/Logging_0840/kartor/A 52906-2021 karta.png", "A 52906-2021")</f>
        <v/>
      </c>
      <c r="Y14">
        <f>HYPERLINK("https://klasma.github.io/Logging_0840/klagomål/A 52906-2021 FSC-klagomål.docx", "A 52906-2021")</f>
        <v/>
      </c>
      <c r="Z14">
        <f>HYPERLINK("https://klasma.github.io/Logging_0840/klagomålsmail/A 52906-2021 FSC-klagomål mail.docx", "A 52906-2021")</f>
        <v/>
      </c>
      <c r="AA14">
        <f>HYPERLINK("https://klasma.github.io/Logging_0840/tillsyn/A 52906-2021 tillsynsbegäran.docx", "A 52906-2021")</f>
        <v/>
      </c>
      <c r="AB14">
        <f>HYPERLINK("https://klasma.github.io/Logging_0840/tillsynsmail/A 52906-2021 tillsynsbegäran mail.docx", "A 52906-2021")</f>
        <v/>
      </c>
      <c r="AC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46216</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s="2" t="inlineStr">
        <is>
          <t>Järnek
Mosippa
Grönsångare
Gulsparv
Göktyta
Mindre hackspett
Svinrot
Murgröna
Spillkråka
Kråka
Skogsduva</t>
        </is>
      </c>
      <c r="V15">
        <f>HYPERLINK("https://klasma.github.io/Logging_0840/artfynd/A 60875-2025 artfynd.xlsx", "A 60875-2025")</f>
        <v/>
      </c>
      <c r="W15">
        <f>HYPERLINK("https://klasma.github.io/Logging_0840/kartor/A 60875-2025 karta.png", "A 60875-2025")</f>
        <v/>
      </c>
      <c r="Y15">
        <f>HYPERLINK("https://klasma.github.io/Logging_0840/klagomål/A 60875-2025 FSC-klagomål.docx", "A 60875-2025")</f>
        <v/>
      </c>
      <c r="Z15">
        <f>HYPERLINK("https://klasma.github.io/Logging_0840/klagomålsmail/A 60875-2025 FSC-klagomål mail.docx", "A 60875-2025")</f>
        <v/>
      </c>
      <c r="AA15">
        <f>HYPERLINK("https://klasma.github.io/Logging_0840/tillsyn/A 60875-2025 tillsynsbegäran.docx", "A 60875-2025")</f>
        <v/>
      </c>
      <c r="AB15">
        <f>HYPERLINK("https://klasma.github.io/Logging_0840/tillsynsmail/A 60875-2025 tillsynsbegäran mail.docx", "A 60875-2025")</f>
        <v/>
      </c>
      <c r="AC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46216</v>
      </c>
      <c r="F16" t="inlineStr">
        <is>
          <t>KALMAR LÄN</t>
        </is>
      </c>
      <c r="G16" t="inlineStr">
        <is>
          <t>MÖRBYLÅNGA</t>
        </is>
      </c>
      <c r="I16" t="n">
        <v>1</v>
      </c>
      <c r="J16" t="n">
        <v>1</v>
      </c>
      <c r="K16" t="n">
        <v>2</v>
      </c>
      <c r="L16" t="n">
        <v>7</v>
      </c>
      <c r="M16" t="n">
        <v>0</v>
      </c>
      <c r="N16" t="n">
        <v>1</v>
      </c>
      <c r="O16" t="n">
        <v>0</v>
      </c>
      <c r="P16" t="n">
        <v>0</v>
      </c>
      <c r="Q16" t="n">
        <v>8</v>
      </c>
      <c r="R16" t="n">
        <v>1</v>
      </c>
      <c r="S16" t="n">
        <v>11</v>
      </c>
      <c r="T16" t="n">
        <v>17</v>
      </c>
      <c r="U16" s="2" t="inlineStr">
        <is>
          <t>Tofsäxing
Backtimjan
Flentimotej
Grådådra
Poppeltofsskivling
Slåtterfibbla
Sminkrot
Solvända
Kalktallört
Murgröna
Blåsippa</t>
        </is>
      </c>
      <c r="V16">
        <f>HYPERLINK("https://klasma.github.io/Logging_0840/artfynd/A 24778-2022 artfynd.xlsx", "A 24778-2022")</f>
        <v/>
      </c>
      <c r="W16">
        <f>HYPERLINK("https://klasma.github.io/Logging_0840/kartor/A 24778-2022 karta.png", "A 24778-2022")</f>
        <v/>
      </c>
      <c r="Y16">
        <f>HYPERLINK("https://klasma.github.io/Logging_0840/klagomål/A 24778-2022 FSC-klagomål.docx", "A 24778-2022")</f>
        <v/>
      </c>
      <c r="Z16">
        <f>HYPERLINK("https://klasma.github.io/Logging_0840/klagomålsmail/A 24778-2022 FSC-klagomål mail.docx", "A 24778-2022")</f>
        <v/>
      </c>
      <c r="AA16">
        <f>HYPERLINK("https://klasma.github.io/Logging_0840/tillsyn/A 24778-2022 tillsynsbegäran.docx", "A 24778-2022")</f>
        <v/>
      </c>
      <c r="AB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46216</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s="2" t="inlineStr">
        <is>
          <t>Ask
Grov gulmossa
Backtimjan
Dvärgjordstjärna
Solvända
Ängsstarr
Murgröna
Alvarmalört
Grönvit nattviol
Krutbrännare
Gullviva</t>
        </is>
      </c>
      <c r="V17">
        <f>HYPERLINK("https://klasma.github.io/Logging_0840/artfynd/A 38039-2022 artfynd.xlsx", "A 38039-2022")</f>
        <v/>
      </c>
      <c r="W17">
        <f>HYPERLINK("https://klasma.github.io/Logging_0840/kartor/A 38039-2022 karta.png", "A 38039-2022")</f>
        <v/>
      </c>
      <c r="Y17">
        <f>HYPERLINK("https://klasma.github.io/Logging_0840/klagomål/A 38039-2022 FSC-klagomål.docx", "A 38039-2022")</f>
        <v/>
      </c>
      <c r="Z17">
        <f>HYPERLINK("https://klasma.github.io/Logging_0840/klagomålsmail/A 38039-2022 FSC-klagomål mail.docx", "A 38039-2022")</f>
        <v/>
      </c>
      <c r="AA17">
        <f>HYPERLINK("https://klasma.github.io/Logging_0840/tillsyn/A 38039-2022 tillsynsbegäran.docx", "A 38039-2022")</f>
        <v/>
      </c>
      <c r="AB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46216</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s="2" t="inlineStr">
        <is>
          <t>Ask
Grov gulmossa
Backtimjan
Dvärgjordstjärna
Solvända
Ängsstarr
Murgröna
Alvarmalört
Grönvit nattviol
Krutbrännare
Gullviva</t>
        </is>
      </c>
      <c r="V18">
        <f>HYPERLINK("https://klasma.github.io/Logging_0840/artfynd/A 27636-2023 artfynd.xlsx", "A 27636-2023")</f>
        <v/>
      </c>
      <c r="W18">
        <f>HYPERLINK("https://klasma.github.io/Logging_0840/kartor/A 27636-2023 karta.png", "A 27636-2023")</f>
        <v/>
      </c>
      <c r="Y18">
        <f>HYPERLINK("https://klasma.github.io/Logging_0840/klagomål/A 27636-2023 FSC-klagomål.docx", "A 27636-2023")</f>
        <v/>
      </c>
      <c r="Z18">
        <f>HYPERLINK("https://klasma.github.io/Logging_0840/klagomålsmail/A 27636-2023 FSC-klagomål mail.docx", "A 27636-2023")</f>
        <v/>
      </c>
      <c r="AA18">
        <f>HYPERLINK("https://klasma.github.io/Logging_0840/tillsyn/A 27636-2023 tillsynsbegäran.docx", "A 27636-2023")</f>
        <v/>
      </c>
      <c r="AB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46216</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s="2" t="inlineStr">
        <is>
          <t>Vresalm
Lundalm
Toppjungfrulin
Gulprickig vaxskivling
Korskovall
Sårläka
Vårärt
Strävlosta
Underviol
Skogsduva</t>
        </is>
      </c>
      <c r="V19">
        <f>HYPERLINK("https://klasma.github.io/Logging_0840/artfynd/A 39320-2024 artfynd.xlsx", "A 39320-2024")</f>
        <v/>
      </c>
      <c r="W19">
        <f>HYPERLINK("https://klasma.github.io/Logging_0840/kartor/A 39320-2024 karta.png", "A 39320-2024")</f>
        <v/>
      </c>
      <c r="Y19">
        <f>HYPERLINK("https://klasma.github.io/Logging_0840/klagomål/A 39320-2024 FSC-klagomål.docx", "A 39320-2024")</f>
        <v/>
      </c>
      <c r="Z19">
        <f>HYPERLINK("https://klasma.github.io/Logging_0840/klagomålsmail/A 39320-2024 FSC-klagomål mail.docx", "A 39320-2024")</f>
        <v/>
      </c>
      <c r="AA19">
        <f>HYPERLINK("https://klasma.github.io/Logging_0840/tillsyn/A 39320-2024 tillsynsbegäran.docx", "A 39320-2024")</f>
        <v/>
      </c>
      <c r="AB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46216</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s="2" t="inlineStr">
        <is>
          <t>Ask
Lundalm
Skogsalm
Desmeknopp
Ängsskära
Åkerkulla
Hässleklocka
Tvåblad
Underviol
Sankt pers nycklar</t>
        </is>
      </c>
      <c r="V20">
        <f>HYPERLINK("https://klasma.github.io/Logging_0840/artfynd/S 1122-2022 artfynd.xlsx", "S 1122-2022")</f>
        <v/>
      </c>
      <c r="W20">
        <f>HYPERLINK("https://klasma.github.io/Logging_0840/kartor/S 1122-2022 karta.png", "S 1122-2022")</f>
        <v/>
      </c>
      <c r="Y20">
        <f>HYPERLINK("https://klasma.github.io/Logging_0840/klagomål/S 1122-2022 FSC-klagomål.docx", "S 1122-2022")</f>
        <v/>
      </c>
      <c r="Z20">
        <f>HYPERLINK("https://klasma.github.io/Logging_0840/klagomålsmail/S 1122-2022 FSC-klagomål mail.docx", "S 1122-2022")</f>
        <v/>
      </c>
      <c r="AA20">
        <f>HYPERLINK("https://klasma.github.io/Logging_0840/tillsyn/S 1122-2022 tillsynsbegäran.docx", "S 1122-2022")</f>
        <v/>
      </c>
      <c r="AB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46216</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s="2" t="inlineStr">
        <is>
          <t>Liten jordstjärna
Stare
Stortimjan
Göktyta
Hedröksvamp
Vårstarr
Ekoxe
Murgröna
Kopparödla</t>
        </is>
      </c>
      <c r="V21">
        <f>HYPERLINK("https://klasma.github.io/Logging_0840/artfynd/S 929-2023 artfynd.xlsx", "S 929-2023")</f>
        <v/>
      </c>
      <c r="W21">
        <f>HYPERLINK("https://klasma.github.io/Logging_0840/kartor/S 929-2023 karta.png", "S 929-2023")</f>
        <v/>
      </c>
      <c r="Y21">
        <f>HYPERLINK("https://klasma.github.io/Logging_0840/klagomål/S 929-2023 FSC-klagomål.docx", "S 929-2023")</f>
        <v/>
      </c>
      <c r="Z21">
        <f>HYPERLINK("https://klasma.github.io/Logging_0840/klagomålsmail/S 929-2023 FSC-klagomål mail.docx", "S 929-2023")</f>
        <v/>
      </c>
      <c r="AA21">
        <f>HYPERLINK("https://klasma.github.io/Logging_0840/tillsyn/S 929-2023 tillsynsbegäran.docx", "S 929-2023")</f>
        <v/>
      </c>
      <c r="AB21">
        <f>HYPERLINK("https://klasma.github.io/Logging_0840/tillsynsmail/S 929-2023 tillsynsbegäran mail.docx", "S 929-2023")</f>
        <v/>
      </c>
      <c r="AC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46216</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s="2" t="inlineStr">
        <is>
          <t>Sandgeting
Liten diskröksvamp
Naveljordstjärna
Ryl
Grönpyrola
Murgröna
Skogsknipprot
Blåsippa</t>
        </is>
      </c>
      <c r="V22">
        <f>HYPERLINK("https://klasma.github.io/Logging_0840/artfynd/A 35242-2024 artfynd.xlsx", "A 35242-2024")</f>
        <v/>
      </c>
      <c r="W22">
        <f>HYPERLINK("https://klasma.github.io/Logging_0840/kartor/A 35242-2024 karta.png", "A 35242-2024")</f>
        <v/>
      </c>
      <c r="X22">
        <f>HYPERLINK("https://klasma.github.io/Logging_0840/knärot/A 35242-2024 karta knärot.png", "A 35242-2024")</f>
        <v/>
      </c>
      <c r="Y22">
        <f>HYPERLINK("https://klasma.github.io/Logging_0840/klagomål/A 35242-2024 FSC-klagomål.docx", "A 35242-2024")</f>
        <v/>
      </c>
      <c r="Z22">
        <f>HYPERLINK("https://klasma.github.io/Logging_0840/klagomålsmail/A 35242-2024 FSC-klagomål mail.docx", "A 35242-2024")</f>
        <v/>
      </c>
      <c r="AA22">
        <f>HYPERLINK("https://klasma.github.io/Logging_0840/tillsyn/A 35242-2024 tillsynsbegäran.docx", "A 35242-2024")</f>
        <v/>
      </c>
      <c r="AB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46216</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s="2" t="inlineStr">
        <is>
          <t>Ask
Lundalm
Sårläka
Vippärt
Ängsskära
Murgröna
Blåsippa
Gullviva</t>
        </is>
      </c>
      <c r="V23">
        <f>HYPERLINK("https://klasma.github.io/Logging_0840/artfynd/S 3773-2023 artfynd.xlsx", "S 3773-2023")</f>
        <v/>
      </c>
      <c r="W23">
        <f>HYPERLINK("https://klasma.github.io/Logging_0840/kartor/S 3773-2023 karta.png", "S 3773-2023")</f>
        <v/>
      </c>
      <c r="Y23">
        <f>HYPERLINK("https://klasma.github.io/Logging_0840/klagomål/S 3773-2023 FSC-klagomål.docx", "S 3773-2023")</f>
        <v/>
      </c>
      <c r="Z23">
        <f>HYPERLINK("https://klasma.github.io/Logging_0840/klagomålsmail/S 3773-2023 FSC-klagomål mail.docx", "S 3773-2023")</f>
        <v/>
      </c>
      <c r="AA23">
        <f>HYPERLINK("https://klasma.github.io/Logging_0840/tillsyn/S 3773-2023 tillsynsbegäran.docx", "S 3773-2023")</f>
        <v/>
      </c>
      <c r="AB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46216</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s="2" t="inlineStr">
        <is>
          <t>Sårläka
Vippärt
Ängsskära
Murgröna
Vätteros
Blåsippa
Sankt pers nycklar
Gullviva</t>
        </is>
      </c>
      <c r="V24">
        <f>HYPERLINK("https://klasma.github.io/Logging_0840/artfynd/S 1833-2023 artfynd.xlsx", "S 1833-2023")</f>
        <v/>
      </c>
      <c r="W24">
        <f>HYPERLINK("https://klasma.github.io/Logging_0840/kartor/S 1833-2023 karta.png", "S 1833-2023")</f>
        <v/>
      </c>
      <c r="Y24">
        <f>HYPERLINK("https://klasma.github.io/Logging_0840/klagomål/S 1833-2023 FSC-klagomål.docx", "S 1833-2023")</f>
        <v/>
      </c>
      <c r="Z24">
        <f>HYPERLINK("https://klasma.github.io/Logging_0840/klagomålsmail/S 1833-2023 FSC-klagomål mail.docx", "S 1833-2023")</f>
        <v/>
      </c>
      <c r="AA24">
        <f>HYPERLINK("https://klasma.github.io/Logging_0840/tillsyn/S 1833-2023 tillsynsbegäran.docx", "S 1833-2023")</f>
        <v/>
      </c>
      <c r="AB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46216</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s="2" t="inlineStr">
        <is>
          <t>Ask
Lundalm
Sminkrot
Vippärt
Ängsskära
Åkerrödtoppa
Näktergal</t>
        </is>
      </c>
      <c r="V25">
        <f>HYPERLINK("https://klasma.github.io/Logging_0840/artfynd/A 40361-2023 artfynd.xlsx", "A 40361-2023")</f>
        <v/>
      </c>
      <c r="W25">
        <f>HYPERLINK("https://klasma.github.io/Logging_0840/kartor/A 40361-2023 karta.png", "A 40361-2023")</f>
        <v/>
      </c>
      <c r="Y25">
        <f>HYPERLINK("https://klasma.github.io/Logging_0840/klagomål/A 40361-2023 FSC-klagomål.docx", "A 40361-2023")</f>
        <v/>
      </c>
      <c r="Z25">
        <f>HYPERLINK("https://klasma.github.io/Logging_0840/klagomålsmail/A 40361-2023 FSC-klagomål mail.docx", "A 40361-2023")</f>
        <v/>
      </c>
      <c r="AA25">
        <f>HYPERLINK("https://klasma.github.io/Logging_0840/tillsyn/A 40361-2023 tillsynsbegäran.docx", "A 40361-2023")</f>
        <v/>
      </c>
      <c r="AB25">
        <f>HYPERLINK("https://klasma.github.io/Logging_0840/tillsynsmail/A 40361-2023 tillsynsbegäran mail.docx", "A 40361-2023")</f>
        <v/>
      </c>
      <c r="AC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46216</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s="2" t="inlineStr">
        <is>
          <t>Blomkålssvamp
Långbensgroda
Större vattensalamander
Åkergroda
Mindre vattensalamander
Vanlig padda</t>
        </is>
      </c>
      <c r="V26">
        <f>HYPERLINK("https://klasma.github.io/Logging_0840/artfynd/A 43704-2025 artfynd.xlsx", "A 43704-2025")</f>
        <v/>
      </c>
      <c r="W26">
        <f>HYPERLINK("https://klasma.github.io/Logging_0840/kartor/A 43704-2025 karta.png", "A 43704-2025")</f>
        <v/>
      </c>
      <c r="Y26">
        <f>HYPERLINK("https://klasma.github.io/Logging_0840/klagomål/A 43704-2025 FSC-klagomål.docx", "A 43704-2025")</f>
        <v/>
      </c>
      <c r="Z26">
        <f>HYPERLINK("https://klasma.github.io/Logging_0840/klagomålsmail/A 43704-2025 FSC-klagomål mail.docx", "A 43704-2025")</f>
        <v/>
      </c>
      <c r="AA26">
        <f>HYPERLINK("https://klasma.github.io/Logging_0840/tillsyn/A 43704-2025 tillsynsbegäran.docx", "A 43704-2025")</f>
        <v/>
      </c>
      <c r="AB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46216</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s="2" t="inlineStr">
        <is>
          <t>Mindre bastardsvärmare
Sexfläckig bastardsvärmare
Grönsångare
Murgröna
Tibast
Trädporella</t>
        </is>
      </c>
      <c r="V27">
        <f>HYPERLINK("https://klasma.github.io/Logging_0840/artfynd/A 43714-2025 artfynd.xlsx", "A 43714-2025")</f>
        <v/>
      </c>
      <c r="W27">
        <f>HYPERLINK("https://klasma.github.io/Logging_0840/kartor/A 43714-2025 karta.png", "A 43714-2025")</f>
        <v/>
      </c>
      <c r="Y27">
        <f>HYPERLINK("https://klasma.github.io/Logging_0840/klagomål/A 43714-2025 FSC-klagomål.docx", "A 43714-2025")</f>
        <v/>
      </c>
      <c r="Z27">
        <f>HYPERLINK("https://klasma.github.io/Logging_0840/klagomålsmail/A 43714-2025 FSC-klagomål mail.docx", "A 43714-2025")</f>
        <v/>
      </c>
      <c r="AA27">
        <f>HYPERLINK("https://klasma.github.io/Logging_0840/tillsyn/A 43714-2025 tillsynsbegäran.docx", "A 43714-2025")</f>
        <v/>
      </c>
      <c r="AB27">
        <f>HYPERLINK("https://klasma.github.io/Logging_0840/tillsynsmail/A 43714-2025 tillsynsbegäran mail.docx", "A 43714-2025")</f>
        <v/>
      </c>
      <c r="AC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46216</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s="2" t="inlineStr">
        <is>
          <t>Småvänderot
Leopardsköldbagge
Ängsstarr
Brudsporre
Kärrknipprot
Ängsnycklar</t>
        </is>
      </c>
      <c r="V28">
        <f>HYPERLINK("https://klasma.github.io/Logging_0840/artfynd/S 1814-2026 artfynd.xlsx", "S 1814-2026")</f>
        <v/>
      </c>
      <c r="W28">
        <f>HYPERLINK("https://klasma.github.io/Logging_0840/kartor/S 1814-2026 karta.png", "S 1814-2026")</f>
        <v/>
      </c>
      <c r="Y28">
        <f>HYPERLINK("https://klasma.github.io/Logging_0840/klagomål/S 1814-2026 FSC-klagomål.docx", "S 1814-2026")</f>
        <v/>
      </c>
      <c r="Z28">
        <f>HYPERLINK("https://klasma.github.io/Logging_0840/klagomålsmail/S 1814-2026 FSC-klagomål mail.docx", "S 1814-2026")</f>
        <v/>
      </c>
      <c r="AA28">
        <f>HYPERLINK("https://klasma.github.io/Logging_0840/tillsyn/S 1814-2026 tillsynsbegäran.docx", "S 1814-2026")</f>
        <v/>
      </c>
      <c r="AB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46216</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s="2" t="inlineStr">
        <is>
          <t>Gulsparv
Mindre märgborre
Blåsippa
Spillkråka
Röd glada</t>
        </is>
      </c>
      <c r="V29">
        <f>HYPERLINK("https://klasma.github.io/Logging_0840/artfynd/A 2864-2026 artfynd.xlsx", "A 2864-2026")</f>
        <v/>
      </c>
      <c r="W29">
        <f>HYPERLINK("https://klasma.github.io/Logging_0840/kartor/A 2864-2026 karta.png", "A 2864-2026")</f>
        <v/>
      </c>
      <c r="Y29">
        <f>HYPERLINK("https://klasma.github.io/Logging_0840/klagomål/A 2864-2026 FSC-klagomål.docx", "A 2864-2026")</f>
        <v/>
      </c>
      <c r="Z29">
        <f>HYPERLINK("https://klasma.github.io/Logging_0840/klagomålsmail/A 2864-2026 FSC-klagomål mail.docx", "A 2864-2026")</f>
        <v/>
      </c>
      <c r="AA29">
        <f>HYPERLINK("https://klasma.github.io/Logging_0840/tillsyn/A 2864-2026 tillsynsbegäran.docx", "A 2864-2026")</f>
        <v/>
      </c>
      <c r="AB29">
        <f>HYPERLINK("https://klasma.github.io/Logging_0840/tillsynsmail/A 2864-2026 tillsynsbegäran mail.docx", "A 2864-2026")</f>
        <v/>
      </c>
      <c r="AC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46216</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s="2" t="inlineStr">
        <is>
          <t>Gulsparv
Mindre märgborre
Blåsippa
Spillkråka
Röd glada</t>
        </is>
      </c>
      <c r="V30">
        <f>HYPERLINK("https://klasma.github.io/Logging_0840/artfynd/A 61963-2025 artfynd.xlsx", "A 61963-2025")</f>
        <v/>
      </c>
      <c r="W30">
        <f>HYPERLINK("https://klasma.github.io/Logging_0840/kartor/A 61963-2025 karta.png", "A 61963-2025")</f>
        <v/>
      </c>
      <c r="Y30">
        <f>HYPERLINK("https://klasma.github.io/Logging_0840/klagomål/A 61963-2025 FSC-klagomål.docx", "A 61963-2025")</f>
        <v/>
      </c>
      <c r="Z30">
        <f>HYPERLINK("https://klasma.github.io/Logging_0840/klagomålsmail/A 61963-2025 FSC-klagomål mail.docx", "A 61963-2025")</f>
        <v/>
      </c>
      <c r="AA30">
        <f>HYPERLINK("https://klasma.github.io/Logging_0840/tillsyn/A 61963-2025 tillsynsbegäran.docx", "A 61963-2025")</f>
        <v/>
      </c>
      <c r="AB30">
        <f>HYPERLINK("https://klasma.github.io/Logging_0840/tillsynsmail/A 61963-2025 tillsynsbegäran mail.docx", "A 61963-2025")</f>
        <v/>
      </c>
      <c r="AC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46216</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s="2" t="inlineStr">
        <is>
          <t>Ask
Murgröna
Tvåblad
Blåsippa</t>
        </is>
      </c>
      <c r="V31">
        <f>HYPERLINK("https://klasma.github.io/Logging_0840/artfynd/A 54167-2024 artfynd.xlsx", "A 54167-2024")</f>
        <v/>
      </c>
      <c r="W31">
        <f>HYPERLINK("https://klasma.github.io/Logging_0840/kartor/A 54167-2024 karta.png", "A 54167-2024")</f>
        <v/>
      </c>
      <c r="Y31">
        <f>HYPERLINK("https://klasma.github.io/Logging_0840/klagomål/A 54167-2024 FSC-klagomål.docx", "A 54167-2024")</f>
        <v/>
      </c>
      <c r="Z31">
        <f>HYPERLINK("https://klasma.github.io/Logging_0840/klagomålsmail/A 54167-2024 FSC-klagomål mail.docx", "A 54167-2024")</f>
        <v/>
      </c>
      <c r="AA31">
        <f>HYPERLINK("https://klasma.github.io/Logging_0840/tillsyn/A 54167-2024 tillsynsbegäran.docx", "A 54167-2024")</f>
        <v/>
      </c>
      <c r="AB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46216</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s="2" t="inlineStr">
        <is>
          <t>Backstarr
Murgröna
Nästrot
Vätteros</t>
        </is>
      </c>
      <c r="V32">
        <f>HYPERLINK("https://klasma.github.io/Logging_0840/artfynd/A 26440-2026 artfynd.xlsx", "A 26440-2026")</f>
        <v/>
      </c>
      <c r="W32">
        <f>HYPERLINK("https://klasma.github.io/Logging_0840/kartor/A 26440-2026 karta.png", "A 26440-2026")</f>
        <v/>
      </c>
      <c r="Y32">
        <f>HYPERLINK("https://klasma.github.io/Logging_0840/klagomål/A 26440-2026 FSC-klagomål.docx", "A 26440-2026")</f>
        <v/>
      </c>
      <c r="Z32">
        <f>HYPERLINK("https://klasma.github.io/Logging_0840/klagomålsmail/A 26440-2026 FSC-klagomål mail.docx", "A 26440-2026")</f>
        <v/>
      </c>
      <c r="AA32">
        <f>HYPERLINK("https://klasma.github.io/Logging_0840/tillsyn/A 26440-2026 tillsynsbegäran.docx", "A 26440-2026")</f>
        <v/>
      </c>
      <c r="AB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46216</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s="2" t="inlineStr">
        <is>
          <t>Kavelhirs
Kösa
Luddvicker
Riddarsporre</t>
        </is>
      </c>
      <c r="V33">
        <f>HYPERLINK("https://klasma.github.io/Logging_0840/artfynd/A 19459-2023 artfynd.xlsx", "A 19459-2023")</f>
        <v/>
      </c>
      <c r="W33">
        <f>HYPERLINK("https://klasma.github.io/Logging_0840/kartor/A 19459-2023 karta.png", "A 19459-2023")</f>
        <v/>
      </c>
      <c r="Y33">
        <f>HYPERLINK("https://klasma.github.io/Logging_0840/klagomål/A 19459-2023 FSC-klagomål.docx", "A 19459-2023")</f>
        <v/>
      </c>
      <c r="Z33">
        <f>HYPERLINK("https://klasma.github.io/Logging_0840/klagomålsmail/A 19459-2023 FSC-klagomål mail.docx", "A 19459-2023")</f>
        <v/>
      </c>
      <c r="AA33">
        <f>HYPERLINK("https://klasma.github.io/Logging_0840/tillsyn/A 19459-2023 tillsynsbegäran.docx", "A 19459-2023")</f>
        <v/>
      </c>
      <c r="AB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46216</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s="2" t="inlineStr">
        <is>
          <t>Stäppbandbi
Vittåtel
Älg</t>
        </is>
      </c>
      <c r="V34">
        <f>HYPERLINK("https://klasma.github.io/Logging_0840/artfynd/A 51244-2021 artfynd.xlsx", "A 51244-2021")</f>
        <v/>
      </c>
      <c r="W34">
        <f>HYPERLINK("https://klasma.github.io/Logging_0840/kartor/A 51244-2021 karta.png", "A 51244-2021")</f>
        <v/>
      </c>
      <c r="Y34">
        <f>HYPERLINK("https://klasma.github.io/Logging_0840/klagomål/A 51244-2021 FSC-klagomål.docx", "A 51244-2021")</f>
        <v/>
      </c>
      <c r="Z34">
        <f>HYPERLINK("https://klasma.github.io/Logging_0840/klagomålsmail/A 51244-2021 FSC-klagomål mail.docx", "A 51244-2021")</f>
        <v/>
      </c>
      <c r="AA34">
        <f>HYPERLINK("https://klasma.github.io/Logging_0840/tillsyn/A 51244-2021 tillsynsbegäran.docx", "A 51244-2021")</f>
        <v/>
      </c>
      <c r="AB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46216</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s="2" t="inlineStr">
        <is>
          <t>Sårläka
Murgröna
Tibast</t>
        </is>
      </c>
      <c r="V35">
        <f>HYPERLINK("https://klasma.github.io/Logging_0840/artfynd/A 43702-2025 artfynd.xlsx", "A 43702-2025")</f>
        <v/>
      </c>
      <c r="W35">
        <f>HYPERLINK("https://klasma.github.io/Logging_0840/kartor/A 43702-2025 karta.png", "A 43702-2025")</f>
        <v/>
      </c>
      <c r="Y35">
        <f>HYPERLINK("https://klasma.github.io/Logging_0840/klagomål/A 43702-2025 FSC-klagomål.docx", "A 43702-2025")</f>
        <v/>
      </c>
      <c r="Z35">
        <f>HYPERLINK("https://klasma.github.io/Logging_0840/klagomålsmail/A 43702-2025 FSC-klagomål mail.docx", "A 43702-2025")</f>
        <v/>
      </c>
      <c r="AA35">
        <f>HYPERLINK("https://klasma.github.io/Logging_0840/tillsyn/A 43702-2025 tillsynsbegäran.docx", "A 43702-2025")</f>
        <v/>
      </c>
      <c r="AB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46216</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s="2" t="inlineStr">
        <is>
          <t>Kragjordstjärna
Murgröna
Scharlakansvårskål agg.</t>
        </is>
      </c>
      <c r="V36">
        <f>HYPERLINK("https://klasma.github.io/Logging_0840/artfynd/A 15600-2025 artfynd.xlsx", "A 15600-2025")</f>
        <v/>
      </c>
      <c r="W36">
        <f>HYPERLINK("https://klasma.github.io/Logging_0840/kartor/A 15600-2025 karta.png", "A 15600-2025")</f>
        <v/>
      </c>
      <c r="Y36">
        <f>HYPERLINK("https://klasma.github.io/Logging_0840/klagomål/A 15600-2025 FSC-klagomål.docx", "A 15600-2025")</f>
        <v/>
      </c>
      <c r="Z36">
        <f>HYPERLINK("https://klasma.github.io/Logging_0840/klagomålsmail/A 15600-2025 FSC-klagomål mail.docx", "A 15600-2025")</f>
        <v/>
      </c>
      <c r="AA36">
        <f>HYPERLINK("https://klasma.github.io/Logging_0840/tillsyn/A 15600-2025 tillsynsbegäran.docx", "A 15600-2025")</f>
        <v/>
      </c>
      <c r="AB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46216</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s="2" t="inlineStr">
        <is>
          <t>Ladusvala
Sminkrot</t>
        </is>
      </c>
      <c r="V37">
        <f>HYPERLINK("https://klasma.github.io/Logging_0840/artfynd/A 54192-2021 artfynd.xlsx", "A 54192-2021")</f>
        <v/>
      </c>
      <c r="W37">
        <f>HYPERLINK("https://klasma.github.io/Logging_0840/kartor/A 54192-2021 karta.png", "A 54192-2021")</f>
        <v/>
      </c>
      <c r="Y37">
        <f>HYPERLINK("https://klasma.github.io/Logging_0840/klagomål/A 54192-2021 FSC-klagomål.docx", "A 54192-2021")</f>
        <v/>
      </c>
      <c r="Z37">
        <f>HYPERLINK("https://klasma.github.io/Logging_0840/klagomålsmail/A 54192-2021 FSC-klagomål mail.docx", "A 54192-2021")</f>
        <v/>
      </c>
      <c r="AA37">
        <f>HYPERLINK("https://klasma.github.io/Logging_0840/tillsyn/A 54192-2021 tillsynsbegäran.docx", "A 54192-2021")</f>
        <v/>
      </c>
      <c r="AB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46216</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s="2" t="inlineStr">
        <is>
          <t>Murgröna
Blåsippa</t>
        </is>
      </c>
      <c r="V38">
        <f>HYPERLINK("https://klasma.github.io/Logging_0840/artfynd/A 62231-2023 artfynd.xlsx", "A 62231-2023")</f>
        <v/>
      </c>
      <c r="W38">
        <f>HYPERLINK("https://klasma.github.io/Logging_0840/kartor/A 62231-2023 karta.png", "A 62231-2023")</f>
        <v/>
      </c>
      <c r="Y38">
        <f>HYPERLINK("https://klasma.github.io/Logging_0840/klagomål/A 62231-2023 FSC-klagomål.docx", "A 62231-2023")</f>
        <v/>
      </c>
      <c r="Z38">
        <f>HYPERLINK("https://klasma.github.io/Logging_0840/klagomålsmail/A 62231-2023 FSC-klagomål mail.docx", "A 62231-2023")</f>
        <v/>
      </c>
      <c r="AA38">
        <f>HYPERLINK("https://klasma.github.io/Logging_0840/tillsyn/A 62231-2023 tillsynsbegäran.docx", "A 62231-2023")</f>
        <v/>
      </c>
      <c r="AB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46216</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s="2" t="inlineStr">
        <is>
          <t>Murgröna
Röd glada</t>
        </is>
      </c>
      <c r="V39">
        <f>HYPERLINK("https://klasma.github.io/Logging_0840/artfynd/A 72167-2021 artfynd.xlsx", "A 72167-2021")</f>
        <v/>
      </c>
      <c r="W39">
        <f>HYPERLINK("https://klasma.github.io/Logging_0840/kartor/A 72167-2021 karta.png", "A 72167-2021")</f>
        <v/>
      </c>
      <c r="Y39">
        <f>HYPERLINK("https://klasma.github.io/Logging_0840/klagomål/A 72167-2021 FSC-klagomål.docx", "A 72167-2021")</f>
        <v/>
      </c>
      <c r="Z39">
        <f>HYPERLINK("https://klasma.github.io/Logging_0840/klagomålsmail/A 72167-2021 FSC-klagomål mail.docx", "A 72167-2021")</f>
        <v/>
      </c>
      <c r="AA39">
        <f>HYPERLINK("https://klasma.github.io/Logging_0840/tillsyn/A 72167-2021 tillsynsbegäran.docx", "A 72167-2021")</f>
        <v/>
      </c>
      <c r="AB39">
        <f>HYPERLINK("https://klasma.github.io/Logging_0840/tillsynsmail/A 72167-2021 tillsynsbegäran mail.docx", "A 72167-2021")</f>
        <v/>
      </c>
      <c r="AC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46216</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s="2" t="inlineStr">
        <is>
          <t>Mindre blåvinge
Silversmygare</t>
        </is>
      </c>
      <c r="V40">
        <f>HYPERLINK("https://klasma.github.io/Logging_0840/artfynd/A 29360-2026 artfynd.xlsx", "A 29360-2026")</f>
        <v/>
      </c>
      <c r="W40">
        <f>HYPERLINK("https://klasma.github.io/Logging_0840/kartor/A 29360-2026 karta.png", "A 29360-2026")</f>
        <v/>
      </c>
      <c r="Y40">
        <f>HYPERLINK("https://klasma.github.io/Logging_0840/klagomål/A 29360-2026 FSC-klagomål.docx", "A 29360-2026")</f>
        <v/>
      </c>
      <c r="Z40">
        <f>HYPERLINK("https://klasma.github.io/Logging_0840/klagomålsmail/A 29360-2026 FSC-klagomål mail.docx", "A 29360-2026")</f>
        <v/>
      </c>
      <c r="AA40">
        <f>HYPERLINK("https://klasma.github.io/Logging_0840/tillsyn/A 29360-2026 tillsynsbegäran.docx", "A 29360-2026")</f>
        <v/>
      </c>
      <c r="AB40">
        <f>HYPERLINK("https://klasma.github.io/Logging_0840/tillsynsmail/A 29360-2026 tillsynsbegäran mail.docx", "A 29360-2026")</f>
        <v/>
      </c>
    </row>
    <row r="41" ht="15" customHeight="1">
      <c r="A41" t="inlineStr">
        <is>
          <t>A 24698-2023</t>
        </is>
      </c>
      <c r="B41" t="inlineStr">
        <is>
          <t>avverkningsanmälan</t>
        </is>
      </c>
      <c r="C41" t="inlineStr">
        <is>
          <t>Föryngringsavverkning</t>
        </is>
      </c>
      <c r="D41" s="1" t="n">
        <v>45084</v>
      </c>
      <c r="E41" s="1" t="n">
        <v>46216</v>
      </c>
      <c r="F41" t="inlineStr">
        <is>
          <t>KALMAR LÄN</t>
        </is>
      </c>
      <c r="G41" t="inlineStr">
        <is>
          <t>MÖRBYLÅNGA</t>
        </is>
      </c>
      <c r="I41" t="n">
        <v>5.5</v>
      </c>
      <c r="J41" t="n">
        <v>0</v>
      </c>
      <c r="K41" t="n">
        <v>0</v>
      </c>
      <c r="L41" t="n">
        <v>1</v>
      </c>
      <c r="M41" t="n">
        <v>0</v>
      </c>
      <c r="N41" t="n">
        <v>0</v>
      </c>
      <c r="O41" t="n">
        <v>0</v>
      </c>
      <c r="P41" t="n">
        <v>0</v>
      </c>
      <c r="Q41" t="n">
        <v>1</v>
      </c>
      <c r="R41" t="n">
        <v>0</v>
      </c>
      <c r="S41" t="n">
        <v>1</v>
      </c>
      <c r="T41" t="n">
        <v>1</v>
      </c>
      <c r="U41" s="2" t="inlineStr">
        <is>
          <t>Sårläka</t>
        </is>
      </c>
      <c r="V41">
        <f>HYPERLINK("https://klasma.github.io/Logging_0840/artfynd/A 24698-2023 artfynd.xlsx", "A 24698-2023")</f>
        <v/>
      </c>
      <c r="W41">
        <f>HYPERLINK("https://klasma.github.io/Logging_0840/kartor/A 24698-2023 karta.png", "A 24698-2023")</f>
        <v/>
      </c>
      <c r="Y41">
        <f>HYPERLINK("https://klasma.github.io/Logging_0840/klagomål/A 24698-2023 FSC-klagomål.docx", "A 24698-2023")</f>
        <v/>
      </c>
      <c r="Z41">
        <f>HYPERLINK("https://klasma.github.io/Logging_0840/klagomålsmail/A 24698-2023 FSC-klagomål mail.docx", "A 24698-2023")</f>
        <v/>
      </c>
      <c r="AA41">
        <f>HYPERLINK("https://klasma.github.io/Logging_0840/tillsyn/A 24698-2023 tillsynsbegäran.docx", "A 24698-2023")</f>
        <v/>
      </c>
      <c r="AB41">
        <f>HYPERLINK("https://klasma.github.io/Logging_0840/tillsynsmail/A 24698-2023 tillsynsbegäran mail.docx", "A 24698-2023")</f>
        <v/>
      </c>
    </row>
    <row r="42" ht="15" customHeight="1">
      <c r="A42" t="inlineStr">
        <is>
          <t>A 62183-2025</t>
        </is>
      </c>
      <c r="B42" t="inlineStr">
        <is>
          <t>avverkningsanmälan</t>
        </is>
      </c>
      <c r="C42" t="inlineStr">
        <is>
          <t>Föryngringsavverkning</t>
        </is>
      </c>
      <c r="D42" s="1" t="n">
        <v>46006</v>
      </c>
      <c r="E42" s="1" t="n">
        <v>46216</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s="2" t="inlineStr">
        <is>
          <t>Kösa</t>
        </is>
      </c>
      <c r="V42">
        <f>HYPERLINK("https://klasma.github.io/Logging_0840/artfynd/A 62183-2025 artfynd.xlsx", "A 62183-2025")</f>
        <v/>
      </c>
      <c r="W42">
        <f>HYPERLINK("https://klasma.github.io/Logging_0840/kartor/A 62183-2025 karta.png", "A 62183-2025")</f>
        <v/>
      </c>
      <c r="Y42">
        <f>HYPERLINK("https://klasma.github.io/Logging_0840/klagomål/A 62183-2025 FSC-klagomål.docx", "A 62183-2025")</f>
        <v/>
      </c>
      <c r="Z42">
        <f>HYPERLINK("https://klasma.github.io/Logging_0840/klagomålsmail/A 62183-2025 FSC-klagomål mail.docx", "A 62183-2025")</f>
        <v/>
      </c>
      <c r="AA42">
        <f>HYPERLINK("https://klasma.github.io/Logging_0840/tillsyn/A 62183-2025 tillsynsbegäran.docx", "A 62183-2025")</f>
        <v/>
      </c>
      <c r="AB42">
        <f>HYPERLINK("https://klasma.github.io/Logging_0840/tillsynsmail/A 62183-2025 tillsynsbegäran mail.docx", "A 62183-2025")</f>
        <v/>
      </c>
    </row>
    <row r="43" ht="15" customHeight="1">
      <c r="A43" t="inlineStr">
        <is>
          <t>A 13040-2024</t>
        </is>
      </c>
      <c r="B43" t="inlineStr">
        <is>
          <t>avverkningsanmälan</t>
        </is>
      </c>
      <c r="C43" t="inlineStr">
        <is>
          <t>Avverkning för annat ändamål</t>
        </is>
      </c>
      <c r="D43" s="1" t="n">
        <v>45385</v>
      </c>
      <c r="E43" s="1" t="n">
        <v>46216</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s="2" t="inlineStr">
        <is>
          <t>Skogsalm</t>
        </is>
      </c>
      <c r="V43">
        <f>HYPERLINK("https://klasma.github.io/Logging_0840/artfynd/A 13040-2024 artfynd.xlsx", "A 13040-2024")</f>
        <v/>
      </c>
      <c r="W43">
        <f>HYPERLINK("https://klasma.github.io/Logging_0840/kartor/A 13040-2024 karta.png", "A 13040-2024")</f>
        <v/>
      </c>
      <c r="Y43">
        <f>HYPERLINK("https://klasma.github.io/Logging_0840/klagomål/A 13040-2024 FSC-klagomål.docx", "A 13040-2024")</f>
        <v/>
      </c>
      <c r="Z43">
        <f>HYPERLINK("https://klasma.github.io/Logging_0840/klagomålsmail/A 13040-2024 FSC-klagomål mail.docx", "A 13040-2024")</f>
        <v/>
      </c>
      <c r="AA43">
        <f>HYPERLINK("https://klasma.github.io/Logging_0840/tillsyn/A 13040-2024 tillsynsbegäran.docx", "A 13040-2024")</f>
        <v/>
      </c>
      <c r="AB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46216</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s="2" t="inlineStr">
        <is>
          <t>Blåsippa</t>
        </is>
      </c>
      <c r="V44">
        <f>HYPERLINK("https://klasma.github.io/Logging_0840/artfynd/A 13384-2023 artfynd.xlsx", "A 13384-2023")</f>
        <v/>
      </c>
      <c r="W44">
        <f>HYPERLINK("https://klasma.github.io/Logging_0840/kartor/A 13384-2023 karta.png", "A 13384-2023")</f>
        <v/>
      </c>
      <c r="Y44">
        <f>HYPERLINK("https://klasma.github.io/Logging_0840/klagomål/A 13384-2023 FSC-klagomål.docx", "A 13384-2023")</f>
        <v/>
      </c>
      <c r="Z44">
        <f>HYPERLINK("https://klasma.github.io/Logging_0840/klagomålsmail/A 13384-2023 FSC-klagomål mail.docx", "A 13384-2023")</f>
        <v/>
      </c>
      <c r="AA44">
        <f>HYPERLINK("https://klasma.github.io/Logging_0840/tillsyn/A 13384-2023 tillsynsbegäran.docx", "A 13384-2023")</f>
        <v/>
      </c>
      <c r="AB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46216</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s="2" t="inlineStr">
        <is>
          <t>Jordtistel</t>
        </is>
      </c>
      <c r="V45">
        <f>HYPERLINK("https://klasma.github.io/Logging_0840/artfynd/A 30492-2026 artfynd.xlsx", "A 30492-2026")</f>
        <v/>
      </c>
      <c r="W45">
        <f>HYPERLINK("https://klasma.github.io/Logging_0840/kartor/A 30492-2026 karta.png", "A 30492-2026")</f>
        <v/>
      </c>
      <c r="Y45">
        <f>HYPERLINK("https://klasma.github.io/Logging_0840/klagomål/A 30492-2026 FSC-klagomål.docx", "A 30492-2026")</f>
        <v/>
      </c>
      <c r="Z45">
        <f>HYPERLINK("https://klasma.github.io/Logging_0840/klagomålsmail/A 30492-2026 FSC-klagomål mail.docx", "A 30492-2026")</f>
        <v/>
      </c>
      <c r="AA45">
        <f>HYPERLINK("https://klasma.github.io/Logging_0840/tillsyn/A 30492-2026 tillsynsbegäran.docx", "A 30492-2026")</f>
        <v/>
      </c>
      <c r="AB45">
        <f>HYPERLINK("https://klasma.github.io/Logging_0840/tillsynsmail/A 30492-2026 tillsynsbegäran mail.docx", "A 30492-2026")</f>
        <v/>
      </c>
    </row>
    <row r="46" ht="15" customHeight="1">
      <c r="A46" t="inlineStr">
        <is>
          <t>A 26876-2022</t>
        </is>
      </c>
      <c r="B46" t="inlineStr">
        <is>
          <t>avverkningsanmälan</t>
        </is>
      </c>
      <c r="C46" t="inlineStr">
        <is>
          <t>Avverkning för annat ändamål</t>
        </is>
      </c>
      <c r="D46" s="1" t="n">
        <v>44740</v>
      </c>
      <c r="E46" s="1" t="n">
        <v>46216</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s="2" t="inlineStr"/>
    </row>
    <row r="47" ht="15" customHeight="1">
      <c r="A47" t="inlineStr">
        <is>
          <t>A 57407-2025</t>
        </is>
      </c>
      <c r="B47" t="inlineStr">
        <is>
          <t>avverkningsanmälan</t>
        </is>
      </c>
      <c r="C47" t="inlineStr">
        <is>
          <t>Föryngringsavverkning</t>
        </is>
      </c>
      <c r="D47" s="1" t="n">
        <v>45980</v>
      </c>
      <c r="E47" s="1" t="n">
        <v>46216</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s="2" t="inlineStr"/>
    </row>
    <row r="48">
      <c r="A48" t="inlineStr">
        <is>
          <t>S 1602-2026</t>
        </is>
      </c>
      <c r="B48" t="inlineStr">
        <is>
          <t>samrådsanmälan</t>
        </is>
      </c>
      <c r="C48" t="inlineStr">
        <is>
          <t>Annan skogsbruksåtgärd</t>
        </is>
      </c>
      <c r="D48" s="1" t="n">
        <v>46171</v>
      </c>
      <c r="E48" s="1" t="n">
        <v>46216</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2026-07-13T14:50:55Z</dcterms:created>
  <dcterms:modified xmlns:dcterms="http://purl.org/dc/terms/" xmlns:xsi="http://www.w3.org/2001/XMLSchema-instance" xsi:type="dcterms:W3CDTF">2026-07-13T14:50:55Z</dcterms:modified>
</cp:coreProperties>
</file>