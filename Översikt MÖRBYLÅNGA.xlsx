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46323</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46323</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46323</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46323</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46323</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46323</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46323</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46323</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46323</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46323</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46323</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46323</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46323</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46323</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46323</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46323</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46323</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15600-2025</t>
        </is>
      </c>
      <c r="B19" t="inlineStr">
        <is>
          <t>avverkningsanmälan</t>
        </is>
      </c>
      <c r="C19" t="inlineStr">
        <is>
          <t>Avverkning för annat ändamål</t>
        </is>
      </c>
      <c r="D19" s="1" t="n">
        <v>45747</v>
      </c>
      <c r="E19" s="1" t="n">
        <v>46323</v>
      </c>
      <c r="F19" t="inlineStr">
        <is>
          <t>KALMAR LÄN</t>
        </is>
      </c>
      <c r="G19" t="inlineStr">
        <is>
          <t>MÖRBYLÅNGA</t>
        </is>
      </c>
      <c r="I19" t="n">
        <v>1.1</v>
      </c>
      <c r="J19" t="n">
        <v>3</v>
      </c>
      <c r="K19" t="n">
        <v>4</v>
      </c>
      <c r="L19" t="n">
        <v>0</v>
      </c>
      <c r="M19" t="n">
        <v>0</v>
      </c>
      <c r="N19" t="n">
        <v>1</v>
      </c>
      <c r="O19" t="n">
        <v>0</v>
      </c>
      <c r="P19" t="n">
        <v>0</v>
      </c>
      <c r="Q19" t="n">
        <v>1</v>
      </c>
      <c r="R19" t="n">
        <v>1</v>
      </c>
      <c r="S19" t="n">
        <v>10</v>
      </c>
      <c r="T19" t="n">
        <v>20</v>
      </c>
      <c r="U19" t="n">
        <v>18</v>
      </c>
      <c r="V19" s="2" t="inlineStr">
        <is>
          <t>Ask
Kragjordstjärna
Murgröna
Scharlakansvårskål agg.
Tibast
Blåsippa
Skärmstarr
Spillkråka
Storrams
Röd glada</t>
        </is>
      </c>
      <c r="W19">
        <f>HYPERLINK("https://klasma.github.io/Logging_0840/artfynd/A 15600-2025 artfynd.xlsx", "A 15600-2025")</f>
        <v/>
      </c>
      <c r="X19">
        <f>HYPERLINK("https://klasma.github.io/Logging_0840/kartor/A 15600-2025 karta.png", "A 15600-2025")</f>
        <v/>
      </c>
      <c r="Y19">
        <f>HYPERLINK("https://klasma.github.io/Logging_0840/kartor_geotiff/A 15600-2025 georefererad karta.tif", "A 15600-2025")</f>
        <v/>
      </c>
      <c r="AA19">
        <f>HYPERLINK("https://klasma.github.io/Logging_0840/klagomål/A 15600-2025 FSC-klagomål.docx", "A 15600-2025")</f>
        <v/>
      </c>
      <c r="AB19">
        <f>HYPERLINK("https://klasma.github.io/Logging_0840/klagomålsmail/A 15600-2025 FSC-klagomål mail.docx", "A 15600-2025")</f>
        <v/>
      </c>
      <c r="AC19">
        <f>HYPERLINK("https://klasma.github.io/Logging_0840/tillsyn/A 15600-2025 tillsynsbegäran.docx", "A 15600-2025")</f>
        <v/>
      </c>
      <c r="AD19">
        <f>HYPERLINK("https://klasma.github.io/Logging_0840/tillsynsmail/A 15600-2025 tillsynsbegäran mail.docx", "A 15600-2025")</f>
        <v/>
      </c>
      <c r="AE19">
        <f>HYPERLINK("https://klasma.github.io/Logging_0840/fåglar/A 15600-2025 prioriterade fågelarter.docx", "A 15600-2025")</f>
        <v/>
      </c>
    </row>
    <row r="20" ht="15" customHeight="1">
      <c r="A20" t="inlineStr">
        <is>
          <t>A 39320-2024</t>
        </is>
      </c>
      <c r="B20" t="inlineStr">
        <is>
          <t>avverkningsanmälan</t>
        </is>
      </c>
      <c r="C20" t="inlineStr">
        <is>
          <t>Avverkning för annat ändamål</t>
        </is>
      </c>
      <c r="D20" s="1" t="n">
        <v>45551</v>
      </c>
      <c r="E20" s="1" t="n">
        <v>46323</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46323</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46323</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46323</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46323</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46323</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46323</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46323</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46323</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46323</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2864-2026</t>
        </is>
      </c>
      <c r="B30" t="inlineStr">
        <is>
          <t>avverkningsanmälan</t>
        </is>
      </c>
      <c r="C30" t="inlineStr">
        <is>
          <t>Föryngringsavverkning</t>
        </is>
      </c>
      <c r="D30" s="1" t="n">
        <v>46038</v>
      </c>
      <c r="E30" s="1" t="n">
        <v>46323</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61963-2025</t>
        </is>
      </c>
      <c r="B31" t="inlineStr">
        <is>
          <t>avverkningsanmälan</t>
        </is>
      </c>
      <c r="C31" t="inlineStr">
        <is>
          <t>Avverkning för annat ändamål</t>
        </is>
      </c>
      <c r="D31" s="1" t="n">
        <v>46003</v>
      </c>
      <c r="E31" s="1" t="n">
        <v>46323</v>
      </c>
      <c r="F31" t="inlineStr">
        <is>
          <t>KALMAR LÄN</t>
        </is>
      </c>
      <c r="G31" t="inlineStr">
        <is>
          <t>MÖRBYLÅNGA</t>
        </is>
      </c>
      <c r="I31" t="n">
        <v>1.1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61963-2025 artfynd.xlsx", "A 61963-2025")</f>
        <v/>
      </c>
      <c r="X31">
        <f>HYPERLINK("https://klasma.github.io/Logging_0840/kartor/A 61963-2025 karta.png", "A 61963-2025")</f>
        <v/>
      </c>
      <c r="Y31">
        <f>HYPERLINK("https://klasma.github.io/Logging_0840/kartor_geotiff/A 61963-2025 georefererad karta.tif", "A 61963-2025")</f>
        <v/>
      </c>
      <c r="AA31">
        <f>HYPERLINK("https://klasma.github.io/Logging_0840/klagomål/A 61963-2025 FSC-klagomål.docx", "A 61963-2025")</f>
        <v/>
      </c>
      <c r="AB31">
        <f>HYPERLINK("https://klasma.github.io/Logging_0840/klagomålsmail/A 61963-2025 FSC-klagomål mail.docx", "A 61963-2025")</f>
        <v/>
      </c>
      <c r="AC31">
        <f>HYPERLINK("https://klasma.github.io/Logging_0840/tillsyn/A 61963-2025 tillsynsbegäran.docx", "A 61963-2025")</f>
        <v/>
      </c>
      <c r="AD31">
        <f>HYPERLINK("https://klasma.github.io/Logging_0840/tillsynsmail/A 61963-2025 tillsynsbegäran mail.docx", "A 61963-2025")</f>
        <v/>
      </c>
      <c r="AE31">
        <f>HYPERLINK("https://klasma.github.io/Logging_0840/fåglar/A 61963-2025 prioriterade fågelarter.docx", "A 61963-2025")</f>
        <v/>
      </c>
    </row>
    <row r="32" ht="15" customHeight="1">
      <c r="A32" t="inlineStr">
        <is>
          <t>A 54167-2024</t>
        </is>
      </c>
      <c r="B32" t="inlineStr">
        <is>
          <t>avverkningsanmälan</t>
        </is>
      </c>
      <c r="C32" t="inlineStr">
        <is>
          <t>Föryngringsavverkning</t>
        </is>
      </c>
      <c r="D32" s="1" t="n">
        <v>45616</v>
      </c>
      <c r="E32" s="1" t="n">
        <v>46323</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26440-2026</t>
        </is>
      </c>
      <c r="B33" t="inlineStr">
        <is>
          <t>avverkningsanmälan</t>
        </is>
      </c>
      <c r="C33" t="inlineStr">
        <is>
          <t>Avverkning för annat ändamål</t>
        </is>
      </c>
      <c r="D33" s="1" t="n">
        <v>46183</v>
      </c>
      <c r="E33" s="1" t="n">
        <v>46323</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46323</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19459-2023</t>
        </is>
      </c>
      <c r="B35" t="inlineStr">
        <is>
          <t>avverkningsanmälan</t>
        </is>
      </c>
      <c r="C35" t="inlineStr">
        <is>
          <t>Avverkning för annat ändamål</t>
        </is>
      </c>
      <c r="D35" s="1" t="n">
        <v>45049</v>
      </c>
      <c r="E35" s="1" t="n">
        <v>46323</v>
      </c>
      <c r="F35" t="inlineStr">
        <is>
          <t>KALMAR LÄN</t>
        </is>
      </c>
      <c r="G35" t="inlineStr">
        <is>
          <t>MÖRBYLÅNGA</t>
        </is>
      </c>
      <c r="I35" t="n">
        <v>1.6</v>
      </c>
      <c r="J35" t="n">
        <v>0</v>
      </c>
      <c r="K35" t="n">
        <v>0</v>
      </c>
      <c r="L35" t="n">
        <v>4</v>
      </c>
      <c r="M35" t="n">
        <v>0</v>
      </c>
      <c r="N35" t="n">
        <v>0</v>
      </c>
      <c r="O35" t="n">
        <v>0</v>
      </c>
      <c r="P35" t="n">
        <v>0</v>
      </c>
      <c r="Q35" t="n">
        <v>4</v>
      </c>
      <c r="R35" t="n">
        <v>0</v>
      </c>
      <c r="S35" t="n">
        <v>4</v>
      </c>
      <c r="T35" t="n">
        <v>4</v>
      </c>
      <c r="U35" t="n">
        <v>4</v>
      </c>
      <c r="V35" s="2" t="inlineStr">
        <is>
          <t>Kavelhirs
Kösa
Luddvicker
Riddarsporre</t>
        </is>
      </c>
      <c r="W35">
        <f>HYPERLINK("https://klasma.github.io/Logging_0840/artfynd/A 19459-2023 artfynd.xlsx", "A 19459-2023")</f>
        <v/>
      </c>
      <c r="X35">
        <f>HYPERLINK("https://klasma.github.io/Logging_0840/kartor/A 19459-2023 karta.png", "A 19459-2023")</f>
        <v/>
      </c>
      <c r="Y35">
        <f>HYPERLINK("https://klasma.github.io/Logging_0840/kartor_geotiff/A 19459-2023 georefererad karta.tif", "A 19459-2023")</f>
        <v/>
      </c>
      <c r="AA35">
        <f>HYPERLINK("https://klasma.github.io/Logging_0840/klagomål/A 19459-2023 FSC-klagomål.docx", "A 19459-2023")</f>
        <v/>
      </c>
      <c r="AB35">
        <f>HYPERLINK("https://klasma.github.io/Logging_0840/klagomålsmail/A 19459-2023 FSC-klagomål mail.docx", "A 19459-2023")</f>
        <v/>
      </c>
      <c r="AC35">
        <f>HYPERLINK("https://klasma.github.io/Logging_0840/tillsyn/A 19459-2023 tillsynsbegäran.docx", "A 19459-2023")</f>
        <v/>
      </c>
      <c r="AD35">
        <f>HYPERLINK("https://klasma.github.io/Logging_0840/tillsynsmail/A 19459-2023 tillsynsbegäran mail.docx", "A 19459-2023")</f>
        <v/>
      </c>
    </row>
    <row r="36" ht="15" customHeight="1">
      <c r="A36" t="inlineStr">
        <is>
          <t>A 43702-2025</t>
        </is>
      </c>
      <c r="B36" t="inlineStr">
        <is>
          <t>avverkningsanmälan</t>
        </is>
      </c>
      <c r="C36" t="inlineStr">
        <is>
          <t>Föryngringsavverkning</t>
        </is>
      </c>
      <c r="D36" s="1" t="n">
        <v>45912</v>
      </c>
      <c r="E36" s="1" t="n">
        <v>46323</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46323</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46323</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46323</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46323</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46323</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46323</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HYPERLINK("https://klasma.github.io/Logging_0840/artfynd/A 13384-2023 artfynd.xlsx", "A 13384-2023")</f>
        <v/>
      </c>
      <c r="X42">
        <f>HYPERLINK("https://klasma.github.io/Logging_0840/kartor/A 13384-2023 karta.png", "A 13384-2023")</f>
        <v/>
      </c>
      <c r="Y42">
        <f>HYPERLINK("https://klasma.github.io/Logging_0840/kartor_geotiff/A 13384-2023 georefererad karta.tif", "A 13384-2023")</f>
        <v/>
      </c>
      <c r="AA42">
        <f>HYPERLINK("https://klasma.github.io/Logging_0840/klagomål/A 13384-2023 FSC-klagomål.docx", "A 13384-2023")</f>
        <v/>
      </c>
      <c r="AB42">
        <f>HYPERLINK("https://klasma.github.io/Logging_0840/klagomålsmail/A 13384-2023 FSC-klagomål mail.docx", "A 13384-2023")</f>
        <v/>
      </c>
      <c r="AC42">
        <f>HYPERLINK("https://klasma.github.io/Logging_0840/tillsyn/A 13384-2023 tillsynsbegäran.docx", "A 13384-2023")</f>
        <v/>
      </c>
      <c r="AD42">
        <f>HYPERLINK("https://klasma.github.io/Logging_0840/tillsynsmail/A 13384-2023 tillsynsbegäran mail.docx", "A 13384-2023")</f>
        <v/>
      </c>
    </row>
    <row r="43" ht="15" customHeight="1">
      <c r="A43" t="inlineStr">
        <is>
          <t>A 62183-2025</t>
        </is>
      </c>
      <c r="B43" t="inlineStr">
        <is>
          <t>avverkningsanmälan</t>
        </is>
      </c>
      <c r="C43" t="inlineStr">
        <is>
          <t>Föryngringsavverkning</t>
        </is>
      </c>
      <c r="D43" s="1" t="n">
        <v>46006</v>
      </c>
      <c r="E43" s="1" t="n">
        <v>46323</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30492-2026</t>
        </is>
      </c>
      <c r="B44" t="inlineStr">
        <is>
          <t>avverkningsanmälan</t>
        </is>
      </c>
      <c r="C44" t="inlineStr">
        <is>
          <t>Avverkning för annat ändamål</t>
        </is>
      </c>
      <c r="D44" s="1" t="n">
        <v>46210</v>
      </c>
      <c r="E44" s="1" t="n">
        <v>46323</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46323</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36928-2026</t>
        </is>
      </c>
      <c r="B46" t="inlineStr">
        <is>
          <t>avverkningsanmälan</t>
        </is>
      </c>
      <c r="C46" t="inlineStr">
        <is>
          <t>Föryngringsavverkning</t>
        </is>
      </c>
      <c r="D46" s="1" t="n">
        <v>46273</v>
      </c>
      <c r="E46" s="1" t="n">
        <v>46323</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46323</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46323</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43693-2026</t>
        </is>
      </c>
      <c r="B49" t="inlineStr">
        <is>
          <t>avverkningsanmälan</t>
        </is>
      </c>
      <c r="C49" t="inlineStr">
        <is>
          <t>Föryngringsavverkning</t>
        </is>
      </c>
      <c r="D49" s="1" t="n">
        <v>46316</v>
      </c>
      <c r="E49" s="1" t="n">
        <v>46323</v>
      </c>
      <c r="F49" t="inlineStr">
        <is>
          <t>KALMAR LÄN</t>
        </is>
      </c>
      <c r="G49" t="inlineStr">
        <is>
          <t>MÖRBYLÅNGA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43698-2026</t>
        </is>
      </c>
      <c r="B50" t="inlineStr">
        <is>
          <t>avverkningsanmälan</t>
        </is>
      </c>
      <c r="C50" t="inlineStr">
        <is>
          <t>Föryngringsavverkning</t>
        </is>
      </c>
      <c r="D50" s="1" t="n">
        <v>46316</v>
      </c>
      <c r="E50" s="1" t="n">
        <v>46323</v>
      </c>
      <c r="F50" t="inlineStr">
        <is>
          <t>KALMAR LÄN</t>
        </is>
      </c>
      <c r="G50" t="inlineStr">
        <is>
          <t>MÖRBYLÅNGA</t>
        </is>
      </c>
      <c r="I50" t="n">
        <v>0.7</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46323</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2026-10-28T03:12:10Z</dcterms:created>
  <dcterms:modified xmlns:dcterms="http://purl.org/dc/terms/" xmlns:xsi="http://www.w3.org/2001/XMLSchema-instance" xsi:type="dcterms:W3CDTF">2026-10-28T03:12:10Z</dcterms:modified>
</cp:coreProperties>
</file>