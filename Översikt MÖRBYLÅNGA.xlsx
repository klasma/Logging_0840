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45987</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45987</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45987</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45987</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45987</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65163-2020</t>
        </is>
      </c>
      <c r="B7" s="1" t="n">
        <v>44172</v>
      </c>
      <c r="C7" s="1" t="n">
        <v>45987</v>
      </c>
      <c r="D7" t="inlineStr">
        <is>
          <t>KALMAR LÄN</t>
        </is>
      </c>
      <c r="E7" t="inlineStr">
        <is>
          <t>MÖRBYLÅNGA</t>
        </is>
      </c>
      <c r="G7" t="n">
        <v>16.8</v>
      </c>
      <c r="H7" t="n">
        <v>5</v>
      </c>
      <c r="I7" t="n">
        <v>3</v>
      </c>
      <c r="J7" t="n">
        <v>7</v>
      </c>
      <c r="K7" t="n">
        <v>1</v>
      </c>
      <c r="L7" t="n">
        <v>0</v>
      </c>
      <c r="M7" t="n">
        <v>0</v>
      </c>
      <c r="N7" t="n">
        <v>0</v>
      </c>
      <c r="O7" t="n">
        <v>8</v>
      </c>
      <c r="P7" t="n">
        <v>1</v>
      </c>
      <c r="Q7" t="n">
        <v>13</v>
      </c>
      <c r="R7" s="2" t="inlineStr">
        <is>
          <t>Liten diskröksvamp
Dvärgjordstjärna
Fyrflikig jordstjärna
Fågelarv
Klibbveronika
Mindre hackspett
Rakhorndyvel
Skrattmås
Ekoxe
Murgröna
Rödbrun jordstjärna
Gråkråka
Kungsfågel</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45987</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59540-2023</t>
        </is>
      </c>
      <c r="B9" s="1" t="n">
        <v>45254</v>
      </c>
      <c r="C9" s="1" t="n">
        <v>45987</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45987</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45987</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24778-2022</t>
        </is>
      </c>
      <c r="B12" s="1" t="n">
        <v>44728</v>
      </c>
      <c r="C12" s="1" t="n">
        <v>45987</v>
      </c>
      <c r="D12" t="inlineStr">
        <is>
          <t>KALMAR LÄN</t>
        </is>
      </c>
      <c r="E12" t="inlineStr">
        <is>
          <t>MÖRBYLÅNGA</t>
        </is>
      </c>
      <c r="G12" t="n">
        <v>1</v>
      </c>
      <c r="H12" t="n">
        <v>0</v>
      </c>
      <c r="I12" t="n">
        <v>2</v>
      </c>
      <c r="J12" t="n">
        <v>3</v>
      </c>
      <c r="K12" t="n">
        <v>0</v>
      </c>
      <c r="L12" t="n">
        <v>1</v>
      </c>
      <c r="M12" t="n">
        <v>0</v>
      </c>
      <c r="N12" t="n">
        <v>0</v>
      </c>
      <c r="O12" t="n">
        <v>4</v>
      </c>
      <c r="P12" t="n">
        <v>1</v>
      </c>
      <c r="Q12" t="n">
        <v>6</v>
      </c>
      <c r="R12" s="2" t="inlineStr">
        <is>
          <t>Tofsäxing
Flentimotej
Poppeltofsskivling
Slåtterfibbla
Kalktallört
Murgröna</t>
        </is>
      </c>
      <c r="S12">
        <f>HYPERLINK("https://klasma.github.io/Logging_0840/artfynd/A 24778-2022 artfynd.xlsx", "A 24778-2022")</f>
        <v/>
      </c>
      <c r="T12">
        <f>HYPERLINK("https://klasma.github.io/Logging_0840/kartor/A 24778-2022 karta.png", "A 24778-2022")</f>
        <v/>
      </c>
      <c r="V12">
        <f>HYPERLINK("https://klasma.github.io/Logging_0840/klagomål/A 24778-2022 FSC-klagomål.docx", "A 24778-2022")</f>
        <v/>
      </c>
      <c r="W12">
        <f>HYPERLINK("https://klasma.github.io/Logging_0840/klagomålsmail/A 24778-2022 FSC-klagomål mail.docx", "A 24778-2022")</f>
        <v/>
      </c>
      <c r="X12">
        <f>HYPERLINK("https://klasma.github.io/Logging_0840/tillsyn/A 24778-2022 tillsynsbegäran.docx", "A 24778-2022")</f>
        <v/>
      </c>
      <c r="Y12">
        <f>HYPERLINK("https://klasma.github.io/Logging_0840/tillsynsmail/A 24778-2022 tillsynsbegäran mail.docx", "A 24778-2022")</f>
        <v/>
      </c>
    </row>
    <row r="13" ht="15" customHeight="1">
      <c r="A13" t="inlineStr">
        <is>
          <t>A 27636-2023</t>
        </is>
      </c>
      <c r="B13" s="1" t="n">
        <v>45097</v>
      </c>
      <c r="C13" s="1" t="n">
        <v>45987</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38039-2022</t>
        </is>
      </c>
      <c r="B14" s="1" t="n">
        <v>44811</v>
      </c>
      <c r="C14" s="1" t="n">
        <v>45987</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39320-2024</t>
        </is>
      </c>
      <c r="B15" s="1" t="n">
        <v>45551</v>
      </c>
      <c r="C15" s="1" t="n">
        <v>45987</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43714-2025</t>
        </is>
      </c>
      <c r="B16" s="1" t="n">
        <v>45912.40814814815</v>
      </c>
      <c r="C16" s="1" t="n">
        <v>45987</v>
      </c>
      <c r="D16" t="inlineStr">
        <is>
          <t>KALMAR LÄN</t>
        </is>
      </c>
      <c r="E16" t="inlineStr">
        <is>
          <t>MÖRBYLÅNGA</t>
        </is>
      </c>
      <c r="G16" t="n">
        <v>7.9</v>
      </c>
      <c r="H16" t="n">
        <v>1</v>
      </c>
      <c r="I16" t="n">
        <v>1</v>
      </c>
      <c r="J16" t="n">
        <v>4</v>
      </c>
      <c r="K16" t="n">
        <v>0</v>
      </c>
      <c r="L16" t="n">
        <v>0</v>
      </c>
      <c r="M16" t="n">
        <v>0</v>
      </c>
      <c r="N16" t="n">
        <v>0</v>
      </c>
      <c r="O16" t="n">
        <v>4</v>
      </c>
      <c r="P16" t="n">
        <v>0</v>
      </c>
      <c r="Q16" t="n">
        <v>5</v>
      </c>
      <c r="R16" s="2" t="inlineStr">
        <is>
          <t>Alvarsandbi
Grönsångare
Mindre bastardsvärmare
Sexfläckig bastardsvärmare
Tibast</t>
        </is>
      </c>
      <c r="S16">
        <f>HYPERLINK("https://klasma.github.io/Logging_0840/artfynd/A 43714-2025 artfynd.xlsx", "A 43714-2025")</f>
        <v/>
      </c>
      <c r="T16">
        <f>HYPERLINK("https://klasma.github.io/Logging_0840/kartor/A 43714-2025 karta.png", "A 43714-2025")</f>
        <v/>
      </c>
      <c r="V16">
        <f>HYPERLINK("https://klasma.github.io/Logging_0840/klagomål/A 43714-2025 FSC-klagomål.docx", "A 43714-2025")</f>
        <v/>
      </c>
      <c r="W16">
        <f>HYPERLINK("https://klasma.github.io/Logging_0840/klagomålsmail/A 43714-2025 FSC-klagomål mail.docx", "A 43714-2025")</f>
        <v/>
      </c>
      <c r="X16">
        <f>HYPERLINK("https://klasma.github.io/Logging_0840/tillsyn/A 43714-2025 tillsynsbegäran.docx", "A 43714-2025")</f>
        <v/>
      </c>
      <c r="Y16">
        <f>HYPERLINK("https://klasma.github.io/Logging_0840/tillsynsmail/A 43714-2025 tillsynsbegäran mail.docx", "A 43714-2025")</f>
        <v/>
      </c>
      <c r="Z16">
        <f>HYPERLINK("https://klasma.github.io/Logging_0840/fåglar/A 43714-2025 prioriterade fågelarter.docx", "A 43714-2025")</f>
        <v/>
      </c>
    </row>
    <row r="17" ht="15" customHeight="1">
      <c r="A17" t="inlineStr">
        <is>
          <t>A 54167-2024</t>
        </is>
      </c>
      <c r="B17" s="1" t="n">
        <v>45616.62196759259</v>
      </c>
      <c r="C17" s="1" t="n">
        <v>45987</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45987</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35242-2024</t>
        </is>
      </c>
      <c r="B19" s="1" t="n">
        <v>45530.55440972222</v>
      </c>
      <c r="C19" s="1" t="n">
        <v>45987</v>
      </c>
      <c r="D19" t="inlineStr">
        <is>
          <t>KALMAR LÄN</t>
        </is>
      </c>
      <c r="E19" t="inlineStr">
        <is>
          <t>MÖRBYLÅNGA</t>
        </is>
      </c>
      <c r="G19" t="n">
        <v>0.9</v>
      </c>
      <c r="H19" t="n">
        <v>1</v>
      </c>
      <c r="I19" t="n">
        <v>2</v>
      </c>
      <c r="J19" t="n">
        <v>0</v>
      </c>
      <c r="K19" t="n">
        <v>0</v>
      </c>
      <c r="L19" t="n">
        <v>1</v>
      </c>
      <c r="M19" t="n">
        <v>0</v>
      </c>
      <c r="N19" t="n">
        <v>0</v>
      </c>
      <c r="O19" t="n">
        <v>1</v>
      </c>
      <c r="P19" t="n">
        <v>1</v>
      </c>
      <c r="Q19" t="n">
        <v>3</v>
      </c>
      <c r="R19" s="2" t="inlineStr">
        <is>
          <t>Ryl
Grönpyrola
Skogsknipprot</t>
        </is>
      </c>
      <c r="S19">
        <f>HYPERLINK("https://klasma.github.io/Logging_0840/artfynd/A 35242-2024 artfynd.xlsx", "A 35242-2024")</f>
        <v/>
      </c>
      <c r="T19">
        <f>HYPERLINK("https://klasma.github.io/Logging_0840/kartor/A 35242-2024 karta.png", "A 35242-2024")</f>
        <v/>
      </c>
      <c r="V19">
        <f>HYPERLINK("https://klasma.github.io/Logging_0840/klagomål/A 35242-2024 FSC-klagomål.docx", "A 35242-2024")</f>
        <v/>
      </c>
      <c r="W19">
        <f>HYPERLINK("https://klasma.github.io/Logging_0840/klagomålsmail/A 35242-2024 FSC-klagomål mail.docx", "A 35242-2024")</f>
        <v/>
      </c>
      <c r="X19">
        <f>HYPERLINK("https://klasma.github.io/Logging_0840/tillsyn/A 35242-2024 tillsynsbegäran.docx", "A 35242-2024")</f>
        <v/>
      </c>
      <c r="Y19">
        <f>HYPERLINK("https://klasma.github.io/Logging_0840/tillsynsmail/A 35242-2024 tillsynsbegäran mail.docx", "A 35242-2024")</f>
        <v/>
      </c>
    </row>
    <row r="20" ht="15" customHeight="1">
      <c r="A20" t="inlineStr">
        <is>
          <t>A 15600-2025</t>
        </is>
      </c>
      <c r="B20" s="1" t="n">
        <v>45747</v>
      </c>
      <c r="C20" s="1" t="n">
        <v>45987</v>
      </c>
      <c r="D20" t="inlineStr">
        <is>
          <t>KALMAR LÄN</t>
        </is>
      </c>
      <c r="E20" t="inlineStr">
        <is>
          <t>MÖRBYLÅNGA</t>
        </is>
      </c>
      <c r="G20" t="n">
        <v>1.1</v>
      </c>
      <c r="H20" t="n">
        <v>0</v>
      </c>
      <c r="I20" t="n">
        <v>2</v>
      </c>
      <c r="J20" t="n">
        <v>0</v>
      </c>
      <c r="K20" t="n">
        <v>0</v>
      </c>
      <c r="L20" t="n">
        <v>0</v>
      </c>
      <c r="M20" t="n">
        <v>0</v>
      </c>
      <c r="N20" t="n">
        <v>0</v>
      </c>
      <c r="O20" t="n">
        <v>0</v>
      </c>
      <c r="P20" t="n">
        <v>0</v>
      </c>
      <c r="Q20" t="n">
        <v>2</v>
      </c>
      <c r="R20" s="2" t="inlineStr">
        <is>
          <t>Murgröna
Scharlakansvårskål agg.</t>
        </is>
      </c>
      <c r="S20">
        <f>HYPERLINK("https://klasma.github.io/Logging_0840/artfynd/A 15600-2025 artfynd.xlsx", "A 15600-2025")</f>
        <v/>
      </c>
      <c r="T20">
        <f>HYPERLINK("https://klasma.github.io/Logging_0840/kartor/A 15600-2025 karta.png", "A 15600-2025")</f>
        <v/>
      </c>
      <c r="V20">
        <f>HYPERLINK("https://klasma.github.io/Logging_0840/klagomål/A 15600-2025 FSC-klagomål.docx", "A 15600-2025")</f>
        <v/>
      </c>
      <c r="W20">
        <f>HYPERLINK("https://klasma.github.io/Logging_0840/klagomålsmail/A 15600-2025 FSC-klagomål mail.docx", "A 15600-2025")</f>
        <v/>
      </c>
      <c r="X20">
        <f>HYPERLINK("https://klasma.github.io/Logging_0840/tillsyn/A 15600-2025 tillsynsbegäran.docx", "A 15600-2025")</f>
        <v/>
      </c>
      <c r="Y20">
        <f>HYPERLINK("https://klasma.github.io/Logging_0840/tillsynsmail/A 15600-2025 tillsynsbegäran mail.docx", "A 15600-2025")</f>
        <v/>
      </c>
    </row>
    <row r="21" ht="15" customHeight="1">
      <c r="A21" t="inlineStr">
        <is>
          <t>A 62231-2023</t>
        </is>
      </c>
      <c r="B21" s="1" t="n">
        <v>45267</v>
      </c>
      <c r="C21" s="1" t="n">
        <v>45987</v>
      </c>
      <c r="D21" t="inlineStr">
        <is>
          <t>KALMAR LÄN</t>
        </is>
      </c>
      <c r="E21" t="inlineStr">
        <is>
          <t>MÖRBYLÅNGA</t>
        </is>
      </c>
      <c r="G21" t="n">
        <v>1.6</v>
      </c>
      <c r="H21" t="n">
        <v>1</v>
      </c>
      <c r="I21" t="n">
        <v>1</v>
      </c>
      <c r="J21" t="n">
        <v>0</v>
      </c>
      <c r="K21" t="n">
        <v>0</v>
      </c>
      <c r="L21" t="n">
        <v>0</v>
      </c>
      <c r="M21" t="n">
        <v>0</v>
      </c>
      <c r="N21" t="n">
        <v>0</v>
      </c>
      <c r="O21" t="n">
        <v>0</v>
      </c>
      <c r="P21" t="n">
        <v>0</v>
      </c>
      <c r="Q21" t="n">
        <v>2</v>
      </c>
      <c r="R21" s="2" t="inlineStr">
        <is>
          <t>Murgröna
Blåsippa</t>
        </is>
      </c>
      <c r="S21">
        <f>HYPERLINK("https://klasma.github.io/Logging_0840/artfynd/A 62231-2023 artfynd.xlsx", "A 62231-2023")</f>
        <v/>
      </c>
      <c r="T21">
        <f>HYPERLINK("https://klasma.github.io/Logging_0840/kartor/A 62231-2023 karta.png", "A 62231-2023")</f>
        <v/>
      </c>
      <c r="V21">
        <f>HYPERLINK("https://klasma.github.io/Logging_0840/klagomål/A 62231-2023 FSC-klagomål.docx", "A 62231-2023")</f>
        <v/>
      </c>
      <c r="W21">
        <f>HYPERLINK("https://klasma.github.io/Logging_0840/klagomålsmail/A 62231-2023 FSC-klagomål mail.docx", "A 62231-2023")</f>
        <v/>
      </c>
      <c r="X21">
        <f>HYPERLINK("https://klasma.github.io/Logging_0840/tillsyn/A 62231-2023 tillsynsbegäran.docx", "A 62231-2023")</f>
        <v/>
      </c>
      <c r="Y21">
        <f>HYPERLINK("https://klasma.github.io/Logging_0840/tillsynsmail/A 62231-2023 tillsynsbegäran mail.docx", "A 62231-2023")</f>
        <v/>
      </c>
    </row>
    <row r="22" ht="15" customHeight="1">
      <c r="A22" t="inlineStr">
        <is>
          <t>A 40361-2023</t>
        </is>
      </c>
      <c r="B22" s="1" t="n">
        <v>45169</v>
      </c>
      <c r="C22" s="1" t="n">
        <v>45987</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54192-2021</t>
        </is>
      </c>
      <c r="B23" s="1" t="n">
        <v>44470</v>
      </c>
      <c r="C23" s="1" t="n">
        <v>45987</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45987</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24698-2023</t>
        </is>
      </c>
      <c r="B25" s="1" t="n">
        <v>45084</v>
      </c>
      <c r="C25" s="1" t="n">
        <v>45987</v>
      </c>
      <c r="D25" t="inlineStr">
        <is>
          <t>KALMAR LÄN</t>
        </is>
      </c>
      <c r="E25" t="inlineStr">
        <is>
          <t>MÖRBYLÅNGA</t>
        </is>
      </c>
      <c r="G25" t="n">
        <v>5.5</v>
      </c>
      <c r="H25" t="n">
        <v>0</v>
      </c>
      <c r="I25" t="n">
        <v>1</v>
      </c>
      <c r="J25" t="n">
        <v>0</v>
      </c>
      <c r="K25" t="n">
        <v>0</v>
      </c>
      <c r="L25" t="n">
        <v>0</v>
      </c>
      <c r="M25" t="n">
        <v>0</v>
      </c>
      <c r="N25" t="n">
        <v>0</v>
      </c>
      <c r="O25" t="n">
        <v>0</v>
      </c>
      <c r="P25" t="n">
        <v>0</v>
      </c>
      <c r="Q25" t="n">
        <v>1</v>
      </c>
      <c r="R25" s="2" t="inlineStr">
        <is>
          <t>Sårläka</t>
        </is>
      </c>
      <c r="S25">
        <f>HYPERLINK("https://klasma.github.io/Logging_0840/artfynd/A 24698-2023 artfynd.xlsx", "A 24698-2023")</f>
        <v/>
      </c>
      <c r="T25">
        <f>HYPERLINK("https://klasma.github.io/Logging_0840/kartor/A 24698-2023 karta.png", "A 24698-2023")</f>
        <v/>
      </c>
      <c r="V25">
        <f>HYPERLINK("https://klasma.github.io/Logging_0840/klagomål/A 24698-2023 FSC-klagomål.docx", "A 24698-2023")</f>
        <v/>
      </c>
      <c r="W25">
        <f>HYPERLINK("https://klasma.github.io/Logging_0840/klagomålsmail/A 24698-2023 FSC-klagomål mail.docx", "A 24698-2023")</f>
        <v/>
      </c>
      <c r="X25">
        <f>HYPERLINK("https://klasma.github.io/Logging_0840/tillsyn/A 24698-2023 tillsynsbegäran.docx", "A 24698-2023")</f>
        <v/>
      </c>
      <c r="Y25">
        <f>HYPERLINK("https://klasma.github.io/Logging_0840/tillsynsmail/A 24698-2023 tillsynsbegäran mail.docx", "A 24698-2023")</f>
        <v/>
      </c>
    </row>
    <row r="26" ht="15" customHeight="1">
      <c r="A26" t="inlineStr">
        <is>
          <t>A 43702-2025</t>
        </is>
      </c>
      <c r="B26" s="1" t="n">
        <v>45912.40270833333</v>
      </c>
      <c r="C26" s="1" t="n">
        <v>45987</v>
      </c>
      <c r="D26" t="inlineStr">
        <is>
          <t>KALMAR LÄN</t>
        </is>
      </c>
      <c r="E26" t="inlineStr">
        <is>
          <t>MÖRBYLÅNGA</t>
        </is>
      </c>
      <c r="G26" t="n">
        <v>2.6</v>
      </c>
      <c r="H26" t="n">
        <v>0</v>
      </c>
      <c r="I26" t="n">
        <v>1</v>
      </c>
      <c r="J26" t="n">
        <v>0</v>
      </c>
      <c r="K26" t="n">
        <v>0</v>
      </c>
      <c r="L26" t="n">
        <v>0</v>
      </c>
      <c r="M26" t="n">
        <v>0</v>
      </c>
      <c r="N26" t="n">
        <v>0</v>
      </c>
      <c r="O26" t="n">
        <v>0</v>
      </c>
      <c r="P26" t="n">
        <v>0</v>
      </c>
      <c r="Q26" t="n">
        <v>1</v>
      </c>
      <c r="R26" s="2" t="inlineStr">
        <is>
          <t>Sårläka</t>
        </is>
      </c>
      <c r="S26">
        <f>HYPERLINK("https://klasma.github.io/Logging_0840/artfynd/A 43702-2025 artfynd.xlsx", "A 43702-2025")</f>
        <v/>
      </c>
      <c r="T26">
        <f>HYPERLINK("https://klasma.github.io/Logging_0840/kartor/A 43702-2025 karta.png", "A 43702-2025")</f>
        <v/>
      </c>
      <c r="V26">
        <f>HYPERLINK("https://klasma.github.io/Logging_0840/klagomål/A 43702-2025 FSC-klagomål.docx", "A 43702-2025")</f>
        <v/>
      </c>
      <c r="W26">
        <f>HYPERLINK("https://klasma.github.io/Logging_0840/klagomålsmail/A 43702-2025 FSC-klagomål mail.docx", "A 43702-2025")</f>
        <v/>
      </c>
      <c r="X26">
        <f>HYPERLINK("https://klasma.github.io/Logging_0840/tillsyn/A 43702-2025 tillsynsbegäran.docx", "A 43702-2025")</f>
        <v/>
      </c>
      <c r="Y26">
        <f>HYPERLINK("https://klasma.github.io/Logging_0840/tillsynsmail/A 43702-2025 tillsynsbegäran mail.docx", "A 43702-2025")</f>
        <v/>
      </c>
    </row>
    <row r="27" ht="15" customHeight="1">
      <c r="A27" t="inlineStr">
        <is>
          <t>A 19459-2023</t>
        </is>
      </c>
      <c r="B27" s="1" t="n">
        <v>45049</v>
      </c>
      <c r="C27" s="1" t="n">
        <v>45987</v>
      </c>
      <c r="D27" t="inlineStr">
        <is>
          <t>KALMAR LÄN</t>
        </is>
      </c>
      <c r="E27" t="inlineStr">
        <is>
          <t>MÖRBYLÅNGA</t>
        </is>
      </c>
      <c r="G27" t="n">
        <v>1.6</v>
      </c>
      <c r="H27" t="n">
        <v>0</v>
      </c>
      <c r="I27" t="n">
        <v>0</v>
      </c>
      <c r="J27" t="n">
        <v>0</v>
      </c>
      <c r="K27" t="n">
        <v>1</v>
      </c>
      <c r="L27" t="n">
        <v>0</v>
      </c>
      <c r="M27" t="n">
        <v>0</v>
      </c>
      <c r="N27" t="n">
        <v>0</v>
      </c>
      <c r="O27" t="n">
        <v>1</v>
      </c>
      <c r="P27" t="n">
        <v>1</v>
      </c>
      <c r="Q27" t="n">
        <v>1</v>
      </c>
      <c r="R27" s="2" t="inlineStr">
        <is>
          <t>Luddvicker</t>
        </is>
      </c>
      <c r="S27">
        <f>HYPERLINK("https://klasma.github.io/Logging_0840/artfynd/A 19459-2023 artfynd.xlsx", "A 19459-2023")</f>
        <v/>
      </c>
      <c r="T27">
        <f>HYPERLINK("https://klasma.github.io/Logging_0840/kartor/A 19459-2023 karta.png", "A 19459-2023")</f>
        <v/>
      </c>
      <c r="V27">
        <f>HYPERLINK("https://klasma.github.io/Logging_0840/klagomål/A 19459-2023 FSC-klagomål.docx", "A 19459-2023")</f>
        <v/>
      </c>
      <c r="W27">
        <f>HYPERLINK("https://klasma.github.io/Logging_0840/klagomålsmail/A 19459-2023 FSC-klagomål mail.docx", "A 19459-2023")</f>
        <v/>
      </c>
      <c r="X27">
        <f>HYPERLINK("https://klasma.github.io/Logging_0840/tillsyn/A 19459-2023 tillsynsbegäran.docx", "A 19459-2023")</f>
        <v/>
      </c>
      <c r="Y27">
        <f>HYPERLINK("https://klasma.github.io/Logging_0840/tillsynsmail/A 19459-2023 tillsynsbegäran mail.docx", "A 19459-2023")</f>
        <v/>
      </c>
    </row>
    <row r="28" ht="15" customHeight="1">
      <c r="A28" t="inlineStr">
        <is>
          <t>A 26876-2022</t>
        </is>
      </c>
      <c r="B28" s="1" t="n">
        <v>44740</v>
      </c>
      <c r="C28" s="1" t="n">
        <v>45987</v>
      </c>
      <c r="D28" t="inlineStr">
        <is>
          <t>KALMAR LÄN</t>
        </is>
      </c>
      <c r="E28" t="inlineStr">
        <is>
          <t>MÖRBYLÅNGA</t>
        </is>
      </c>
      <c r="G28" t="n">
        <v>0.7</v>
      </c>
      <c r="H28" t="n">
        <v>0</v>
      </c>
      <c r="I28" t="n">
        <v>0</v>
      </c>
      <c r="J28" t="n">
        <v>0</v>
      </c>
      <c r="K28" t="n">
        <v>0</v>
      </c>
      <c r="L28" t="n">
        <v>0</v>
      </c>
      <c r="M28" t="n">
        <v>0</v>
      </c>
      <c r="N28" t="n">
        <v>0</v>
      </c>
      <c r="O28" t="n">
        <v>0</v>
      </c>
      <c r="P28" t="n">
        <v>0</v>
      </c>
      <c r="Q28" t="n">
        <v>0</v>
      </c>
      <c r="R28" s="2" t="inlineStr"/>
    </row>
    <row r="29" ht="15" customHeight="1">
      <c r="A29" t="inlineStr">
        <is>
          <t>A 13040-2024</t>
        </is>
      </c>
      <c r="B29" s="1" t="n">
        <v>45385</v>
      </c>
      <c r="C29" s="1" t="n">
        <v>45987</v>
      </c>
      <c r="D29" t="inlineStr">
        <is>
          <t>KALMAR LÄN</t>
        </is>
      </c>
      <c r="E29" t="inlineStr">
        <is>
          <t>MÖRBYLÅNGA</t>
        </is>
      </c>
      <c r="G29" t="n">
        <v>1.2</v>
      </c>
      <c r="H29" t="n">
        <v>0</v>
      </c>
      <c r="I29" t="n">
        <v>0</v>
      </c>
      <c r="J29" t="n">
        <v>0</v>
      </c>
      <c r="K29" t="n">
        <v>0</v>
      </c>
      <c r="L29" t="n">
        <v>0</v>
      </c>
      <c r="M29" t="n">
        <v>0</v>
      </c>
      <c r="N29" t="n">
        <v>0</v>
      </c>
      <c r="O29" t="n">
        <v>0</v>
      </c>
      <c r="P29" t="n">
        <v>0</v>
      </c>
      <c r="Q29" t="n">
        <v>0</v>
      </c>
      <c r="R29" s="2" t="inlineStr"/>
    </row>
    <row r="30" ht="15" customHeight="1">
      <c r="A30" t="inlineStr">
        <is>
          <t>A 13384-2023</t>
        </is>
      </c>
      <c r="B30" s="1" t="n">
        <v>45005</v>
      </c>
      <c r="C30" s="1" t="n">
        <v>45987</v>
      </c>
      <c r="D30" t="inlineStr">
        <is>
          <t>KALMAR LÄN</t>
        </is>
      </c>
      <c r="E30" t="inlineStr">
        <is>
          <t>MÖRBYLÅNGA</t>
        </is>
      </c>
      <c r="G30" t="n">
        <v>0.9</v>
      </c>
      <c r="H30" t="n">
        <v>0</v>
      </c>
      <c r="I30" t="n">
        <v>0</v>
      </c>
      <c r="J30" t="n">
        <v>0</v>
      </c>
      <c r="K30" t="n">
        <v>0</v>
      </c>
      <c r="L30" t="n">
        <v>0</v>
      </c>
      <c r="M30" t="n">
        <v>0</v>
      </c>
      <c r="N30" t="n">
        <v>0</v>
      </c>
      <c r="O30" t="n">
        <v>0</v>
      </c>
      <c r="P30" t="n">
        <v>0</v>
      </c>
      <c r="Q30" t="n">
        <v>0</v>
      </c>
      <c r="R30" s="2" t="inlineStr"/>
    </row>
    <row r="31" ht="15" customHeight="1">
      <c r="A31" t="inlineStr">
        <is>
          <t>A 43704-2025</t>
        </is>
      </c>
      <c r="B31" s="1" t="n">
        <v>45912.40490740741</v>
      </c>
      <c r="C31" s="1" t="n">
        <v>45987</v>
      </c>
      <c r="D31" t="inlineStr">
        <is>
          <t>KALMAR LÄN</t>
        </is>
      </c>
      <c r="E31" t="inlineStr">
        <is>
          <t>MÖRBYLÅNGA</t>
        </is>
      </c>
      <c r="G31" t="n">
        <v>2.7</v>
      </c>
      <c r="H31" t="n">
        <v>0</v>
      </c>
      <c r="I31" t="n">
        <v>0</v>
      </c>
      <c r="J31" t="n">
        <v>0</v>
      </c>
      <c r="K31" t="n">
        <v>0</v>
      </c>
      <c r="L31" t="n">
        <v>0</v>
      </c>
      <c r="M31" t="n">
        <v>0</v>
      </c>
      <c r="N31" t="n">
        <v>0</v>
      </c>
      <c r="O31" t="n">
        <v>0</v>
      </c>
      <c r="P31" t="n">
        <v>0</v>
      </c>
      <c r="Q31" t="n">
        <v>0</v>
      </c>
      <c r="R31" s="2" t="inlineStr"/>
    </row>
    <row r="32" ht="15" customHeight="1">
      <c r="A32" t="inlineStr">
        <is>
          <t>A 57407-2025</t>
        </is>
      </c>
      <c r="B32" s="1" t="n">
        <v>45980.44351851852</v>
      </c>
      <c r="C32" s="1" t="n">
        <v>45987</v>
      </c>
      <c r="D32" t="inlineStr">
        <is>
          <t>KALMAR LÄN</t>
        </is>
      </c>
      <c r="E32" t="inlineStr">
        <is>
          <t>MÖRBYLÅNGA</t>
        </is>
      </c>
      <c r="G32" t="n">
        <v>0.8</v>
      </c>
      <c r="H32" t="n">
        <v>0</v>
      </c>
      <c r="I32" t="n">
        <v>0</v>
      </c>
      <c r="J32" t="n">
        <v>0</v>
      </c>
      <c r="K32" t="n">
        <v>0</v>
      </c>
      <c r="L32" t="n">
        <v>0</v>
      </c>
      <c r="M32" t="n">
        <v>0</v>
      </c>
      <c r="N32" t="n">
        <v>0</v>
      </c>
      <c r="O32" t="n">
        <v>0</v>
      </c>
      <c r="P32" t="n">
        <v>0</v>
      </c>
      <c r="Q32" t="n">
        <v>0</v>
      </c>
      <c r="R32" s="2" t="inlineStr"/>
    </row>
    <row r="33" ht="15" customHeight="1">
      <c r="A33" t="inlineStr">
        <is>
          <t>A 63676-2023</t>
        </is>
      </c>
      <c r="B33" s="1" t="n">
        <v>45275.64739583333</v>
      </c>
      <c r="C33" s="1" t="n">
        <v>45987</v>
      </c>
      <c r="D33" t="inlineStr">
        <is>
          <t>KALMAR LÄN</t>
        </is>
      </c>
      <c r="E33" t="inlineStr">
        <is>
          <t>MÖRBYLÅNGA</t>
        </is>
      </c>
      <c r="G33" t="n">
        <v>1</v>
      </c>
      <c r="H33" t="n">
        <v>0</v>
      </c>
      <c r="I33" t="n">
        <v>0</v>
      </c>
      <c r="J33" t="n">
        <v>0</v>
      </c>
      <c r="K33" t="n">
        <v>0</v>
      </c>
      <c r="L33" t="n">
        <v>0</v>
      </c>
      <c r="M33" t="n">
        <v>0</v>
      </c>
      <c r="N33" t="n">
        <v>0</v>
      </c>
      <c r="O33" t="n">
        <v>0</v>
      </c>
      <c r="P33" t="n">
        <v>0</v>
      </c>
      <c r="Q33" t="n">
        <v>0</v>
      </c>
      <c r="R33" s="2" t="inlineStr"/>
    </row>
    <row r="34">
      <c r="A34" t="inlineStr">
        <is>
          <t>A 72167-2021</t>
        </is>
      </c>
      <c r="B34" s="1" t="n">
        <v>44544</v>
      </c>
      <c r="C34" s="1" t="n">
        <v>45987</v>
      </c>
      <c r="D34" t="inlineStr">
        <is>
          <t>KALMAR LÄN</t>
        </is>
      </c>
      <c r="E34" t="inlineStr">
        <is>
          <t>MÖRBYLÅNGA</t>
        </is>
      </c>
      <c r="G34" t="n">
        <v>3.5</v>
      </c>
      <c r="H34" t="n">
        <v>0</v>
      </c>
      <c r="I34" t="n">
        <v>0</v>
      </c>
      <c r="J34" t="n">
        <v>0</v>
      </c>
      <c r="K34" t="n">
        <v>0</v>
      </c>
      <c r="L34" t="n">
        <v>0</v>
      </c>
      <c r="M34" t="n">
        <v>0</v>
      </c>
      <c r="N34" t="n">
        <v>0</v>
      </c>
      <c r="O34" t="n">
        <v>0</v>
      </c>
      <c r="P34" t="n">
        <v>0</v>
      </c>
      <c r="Q34" t="n">
        <v>0</v>
      </c>
      <c r="R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2025-11-26T10:23:07Z</dcterms:created>
  <dcterms:modified xmlns:dcterms="http://purl.org/dc/terms/" xmlns:xsi="http://www.w3.org/2001/XMLSchema-instance" xsi:type="dcterms:W3CDTF">2025-11-26T10:23:07Z</dcterms:modified>
</cp:coreProperties>
</file>