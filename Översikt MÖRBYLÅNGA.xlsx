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45731</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45731</v>
      </c>
      <c r="D3" t="inlineStr">
        <is>
          <t>KALMAR LÄN</t>
        </is>
      </c>
      <c r="E3" t="inlineStr">
        <is>
          <t>MÖRBYLÅNGA</t>
        </is>
      </c>
      <c r="G3" t="n">
        <v>1.5</v>
      </c>
      <c r="H3" t="n">
        <v>2</v>
      </c>
      <c r="I3" t="n">
        <v>2</v>
      </c>
      <c r="J3" t="n">
        <v>20</v>
      </c>
      <c r="K3" t="n">
        <v>4</v>
      </c>
      <c r="L3" t="n">
        <v>3</v>
      </c>
      <c r="M3" t="n">
        <v>0</v>
      </c>
      <c r="N3" t="n">
        <v>0</v>
      </c>
      <c r="O3" t="n">
        <v>27</v>
      </c>
      <c r="P3" t="n">
        <v>7</v>
      </c>
      <c r="Q3" t="n">
        <v>29</v>
      </c>
      <c r="R3"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45731</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11163-2021</t>
        </is>
      </c>
      <c r="B5" s="1" t="n">
        <v>44262</v>
      </c>
      <c r="C5" s="1" t="n">
        <v>45731</v>
      </c>
      <c r="D5" t="inlineStr">
        <is>
          <t>KALMAR LÄN</t>
        </is>
      </c>
      <c r="E5" t="inlineStr">
        <is>
          <t>MÖRBYLÅNGA</t>
        </is>
      </c>
      <c r="G5" t="n">
        <v>3.4</v>
      </c>
      <c r="H5" t="n">
        <v>2</v>
      </c>
      <c r="I5" t="n">
        <v>1</v>
      </c>
      <c r="J5" t="n">
        <v>11</v>
      </c>
      <c r="K5" t="n">
        <v>1</v>
      </c>
      <c r="L5" t="n">
        <v>2</v>
      </c>
      <c r="M5" t="n">
        <v>1</v>
      </c>
      <c r="N5" t="n">
        <v>0</v>
      </c>
      <c r="O5" t="n">
        <v>16</v>
      </c>
      <c r="P5" t="n">
        <v>4</v>
      </c>
      <c r="Q5" t="n">
        <v>18</v>
      </c>
      <c r="R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27865-2024</t>
        </is>
      </c>
      <c r="B6" s="1" t="n">
        <v>45475</v>
      </c>
      <c r="C6" s="1" t="n">
        <v>45731</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21219-2023</t>
        </is>
      </c>
      <c r="B7" s="1" t="n">
        <v>45062</v>
      </c>
      <c r="C7" s="1" t="n">
        <v>45731</v>
      </c>
      <c r="D7" t="inlineStr">
        <is>
          <t>KALMAR LÄN</t>
        </is>
      </c>
      <c r="E7" t="inlineStr">
        <is>
          <t>MÖRBYLÅNGA</t>
        </is>
      </c>
      <c r="G7" t="n">
        <v>3.6</v>
      </c>
      <c r="H7" t="n">
        <v>3</v>
      </c>
      <c r="I7" t="n">
        <v>5</v>
      </c>
      <c r="J7" t="n">
        <v>3</v>
      </c>
      <c r="K7" t="n">
        <v>1</v>
      </c>
      <c r="L7" t="n">
        <v>1</v>
      </c>
      <c r="M7" t="n">
        <v>0</v>
      </c>
      <c r="N7" t="n">
        <v>0</v>
      </c>
      <c r="O7" t="n">
        <v>5</v>
      </c>
      <c r="P7" t="n">
        <v>2</v>
      </c>
      <c r="Q7" t="n">
        <v>12</v>
      </c>
      <c r="R7" s="2" t="inlineStr">
        <is>
          <t>Ask
Munkspindling
Olivbrun spindling
Spillkråka
Tallticka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65163-2020</t>
        </is>
      </c>
      <c r="B8" s="1" t="n">
        <v>44172</v>
      </c>
      <c r="C8" s="1" t="n">
        <v>45731</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21214-2023</t>
        </is>
      </c>
      <c r="B9" s="1" t="n">
        <v>45062</v>
      </c>
      <c r="C9" s="1" t="n">
        <v>45731</v>
      </c>
      <c r="D9" t="inlineStr">
        <is>
          <t>KALMAR LÄN</t>
        </is>
      </c>
      <c r="E9" t="inlineStr">
        <is>
          <t>MÖRBYLÅNGA</t>
        </is>
      </c>
      <c r="G9" t="n">
        <v>3.5</v>
      </c>
      <c r="H9" t="n">
        <v>2</v>
      </c>
      <c r="I9" t="n">
        <v>5</v>
      </c>
      <c r="J9" t="n">
        <v>3</v>
      </c>
      <c r="K9" t="n">
        <v>1</v>
      </c>
      <c r="L9" t="n">
        <v>0</v>
      </c>
      <c r="M9" t="n">
        <v>0</v>
      </c>
      <c r="N9" t="n">
        <v>0</v>
      </c>
      <c r="O9" t="n">
        <v>4</v>
      </c>
      <c r="P9" t="n">
        <v>1</v>
      </c>
      <c r="Q9" t="n">
        <v>10</v>
      </c>
      <c r="R9" s="2" t="inlineStr">
        <is>
          <t>Mjölspindling
Spillkråka
Svart askbastborre
Tallticka
Guldlockmossa
Hasselticka
Mindre märgborre
Murgröna
Sårläka
Blåsippa</t>
        </is>
      </c>
      <c r="S9">
        <f>HYPERLINK("https://klasma.github.io/Logging_0840/artfynd/A 21214-2023 artfynd.xlsx", "A 21214-2023")</f>
        <v/>
      </c>
      <c r="T9">
        <f>HYPERLINK("https://klasma.github.io/Logging_0840/kartor/A 21214-2023 karta.png", "A 21214-2023")</f>
        <v/>
      </c>
      <c r="V9">
        <f>HYPERLINK("https://klasma.github.io/Logging_0840/klagomål/A 21214-2023 FSC-klagomål.docx", "A 21214-2023")</f>
        <v/>
      </c>
      <c r="W9">
        <f>HYPERLINK("https://klasma.github.io/Logging_0840/klagomålsmail/A 21214-2023 FSC-klagomål mail.docx", "A 21214-2023")</f>
        <v/>
      </c>
      <c r="X9">
        <f>HYPERLINK("https://klasma.github.io/Logging_0840/tillsyn/A 21214-2023 tillsynsbegäran.docx", "A 21214-2023")</f>
        <v/>
      </c>
      <c r="Y9">
        <f>HYPERLINK("https://klasma.github.io/Logging_0840/tillsynsmail/A 21214-2023 tillsynsbegäran mail.docx", "A 21214-2023")</f>
        <v/>
      </c>
      <c r="Z9">
        <f>HYPERLINK("https://klasma.github.io/Logging_0840/fåglar/A 21214-2023 prioriterade fågelarter.docx", "A 21214-2023")</f>
        <v/>
      </c>
    </row>
    <row r="10" ht="15" customHeight="1">
      <c r="A10" t="inlineStr">
        <is>
          <t>A 59540-2023</t>
        </is>
      </c>
      <c r="B10" s="1" t="n">
        <v>45254</v>
      </c>
      <c r="C10" s="1" t="n">
        <v>45731</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45731</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45731</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45731</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45731</v>
      </c>
      <c r="D14" t="inlineStr">
        <is>
          <t>KALMAR LÄN</t>
        </is>
      </c>
      <c r="E14" t="inlineStr">
        <is>
          <t>MÖRBYLÅNGA</t>
        </is>
      </c>
      <c r="G14" t="n">
        <v>5.1</v>
      </c>
      <c r="H14" t="n">
        <v>2</v>
      </c>
      <c r="I14" t="n">
        <v>2</v>
      </c>
      <c r="J14" t="n">
        <v>3</v>
      </c>
      <c r="K14" t="n">
        <v>0</v>
      </c>
      <c r="L14" t="n">
        <v>0</v>
      </c>
      <c r="M14" t="n">
        <v>1</v>
      </c>
      <c r="N14" t="n">
        <v>0</v>
      </c>
      <c r="O14" t="n">
        <v>4</v>
      </c>
      <c r="P14" t="n">
        <v>1</v>
      </c>
      <c r="Q14" t="n">
        <v>6</v>
      </c>
      <c r="R14" s="2" t="inlineStr">
        <is>
          <t>Skogsalm
Entita
Havsörn
Roststumpbagge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45731</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45731</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45731</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45731</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61854-2020</t>
        </is>
      </c>
      <c r="B19" s="1" t="n">
        <v>44155</v>
      </c>
      <c r="C19" s="1" t="n">
        <v>45731</v>
      </c>
      <c r="D19" t="inlineStr">
        <is>
          <t>KALMAR LÄN</t>
        </is>
      </c>
      <c r="E19" t="inlineStr">
        <is>
          <t>MÖRBYLÅNGA</t>
        </is>
      </c>
      <c r="G19" t="n">
        <v>1.3</v>
      </c>
      <c r="H19" t="n">
        <v>1</v>
      </c>
      <c r="I19" t="n">
        <v>3</v>
      </c>
      <c r="J19" t="n">
        <v>0</v>
      </c>
      <c r="K19" t="n">
        <v>0</v>
      </c>
      <c r="L19" t="n">
        <v>0</v>
      </c>
      <c r="M19" t="n">
        <v>0</v>
      </c>
      <c r="N19" t="n">
        <v>0</v>
      </c>
      <c r="O19" t="n">
        <v>0</v>
      </c>
      <c r="P19" t="n">
        <v>0</v>
      </c>
      <c r="Q19" t="n">
        <v>4</v>
      </c>
      <c r="R19" s="2" t="inlineStr">
        <is>
          <t>Kalktallört
Murgröna
Scharlakansvårskål agg.
Blåsippa</t>
        </is>
      </c>
      <c r="S19">
        <f>HYPERLINK("https://klasma.github.io/Logging_0840/artfynd/A 61854-2020 artfynd.xlsx", "A 61854-2020")</f>
        <v/>
      </c>
      <c r="T19">
        <f>HYPERLINK("https://klasma.github.io/Logging_0840/kartor/A 61854-2020 karta.png", "A 61854-2020")</f>
        <v/>
      </c>
      <c r="V19">
        <f>HYPERLINK("https://klasma.github.io/Logging_0840/klagomål/A 61854-2020 FSC-klagomål.docx", "A 61854-2020")</f>
        <v/>
      </c>
      <c r="W19">
        <f>HYPERLINK("https://klasma.github.io/Logging_0840/klagomålsmail/A 61854-2020 FSC-klagomål mail.docx", "A 61854-2020")</f>
        <v/>
      </c>
      <c r="X19">
        <f>HYPERLINK("https://klasma.github.io/Logging_0840/tillsyn/A 61854-2020 tillsynsbegäran.docx", "A 61854-2020")</f>
        <v/>
      </c>
      <c r="Y19">
        <f>HYPERLINK("https://klasma.github.io/Logging_0840/tillsynsmail/A 61854-2020 tillsynsbegäran mail.docx", "A 61854-2020")</f>
        <v/>
      </c>
    </row>
    <row r="20" ht="15" customHeight="1">
      <c r="A20" t="inlineStr">
        <is>
          <t>A 40688-2023</t>
        </is>
      </c>
      <c r="B20" s="1" t="n">
        <v>45170</v>
      </c>
      <c r="C20" s="1" t="n">
        <v>45731</v>
      </c>
      <c r="D20" t="inlineStr">
        <is>
          <t>KALMAR LÄN</t>
        </is>
      </c>
      <c r="E20" t="inlineStr">
        <is>
          <t>MÖRBYLÅNGA</t>
        </is>
      </c>
      <c r="G20" t="n">
        <v>2.7</v>
      </c>
      <c r="H20" t="n">
        <v>4</v>
      </c>
      <c r="I20" t="n">
        <v>1</v>
      </c>
      <c r="J20" t="n">
        <v>0</v>
      </c>
      <c r="K20" t="n">
        <v>1</v>
      </c>
      <c r="L20" t="n">
        <v>0</v>
      </c>
      <c r="M20" t="n">
        <v>0</v>
      </c>
      <c r="N20" t="n">
        <v>0</v>
      </c>
      <c r="O20" t="n">
        <v>1</v>
      </c>
      <c r="P20" t="n">
        <v>1</v>
      </c>
      <c r="Q20" t="n">
        <v>4</v>
      </c>
      <c r="R20" s="2" t="inlineStr">
        <is>
          <t>Väddnätfjäril
Skogsknipprot
Vanlig snok
Ängsnycklar</t>
        </is>
      </c>
      <c r="S20">
        <f>HYPERLINK("https://klasma.github.io/Logging_0840/artfynd/A 40688-2023 artfynd.xlsx", "A 40688-2023")</f>
        <v/>
      </c>
      <c r="T20">
        <f>HYPERLINK("https://klasma.github.io/Logging_0840/kartor/A 40688-2023 karta.png", "A 40688-2023")</f>
        <v/>
      </c>
      <c r="V20">
        <f>HYPERLINK("https://klasma.github.io/Logging_0840/klagomål/A 40688-2023 FSC-klagomål.docx", "A 40688-2023")</f>
        <v/>
      </c>
      <c r="W20">
        <f>HYPERLINK("https://klasma.github.io/Logging_0840/klagomålsmail/A 40688-2023 FSC-klagomål mail.docx", "A 40688-2023")</f>
        <v/>
      </c>
      <c r="X20">
        <f>HYPERLINK("https://klasma.github.io/Logging_0840/tillsyn/A 40688-2023 tillsynsbegäran.docx", "A 40688-2023")</f>
        <v/>
      </c>
      <c r="Y20">
        <f>HYPERLINK("https://klasma.github.io/Logging_0840/tillsynsmail/A 40688-2023 tillsynsbegäran mail.docx", "A 40688-2023")</f>
        <v/>
      </c>
    </row>
    <row r="21" ht="15" customHeight="1">
      <c r="A21" t="inlineStr">
        <is>
          <t>A 28723-2024</t>
        </is>
      </c>
      <c r="B21" s="1" t="n">
        <v>45478</v>
      </c>
      <c r="C21" s="1" t="n">
        <v>45731</v>
      </c>
      <c r="D21" t="inlineStr">
        <is>
          <t>KALMAR LÄN</t>
        </is>
      </c>
      <c r="E21" t="inlineStr">
        <is>
          <t>MÖRBYLÅNGA</t>
        </is>
      </c>
      <c r="G21" t="n">
        <v>4</v>
      </c>
      <c r="H21" t="n">
        <v>1</v>
      </c>
      <c r="I21" t="n">
        <v>1</v>
      </c>
      <c r="J21" t="n">
        <v>0</v>
      </c>
      <c r="K21" t="n">
        <v>1</v>
      </c>
      <c r="L21" t="n">
        <v>1</v>
      </c>
      <c r="M21" t="n">
        <v>0</v>
      </c>
      <c r="N21" t="n">
        <v>0</v>
      </c>
      <c r="O21" t="n">
        <v>2</v>
      </c>
      <c r="P21" t="n">
        <v>2</v>
      </c>
      <c r="Q21" t="n">
        <v>4</v>
      </c>
      <c r="R21" s="2" t="inlineStr">
        <is>
          <t>Naveljordstjärna
Liten diskröksvamp
Murgröna
Blåsippa</t>
        </is>
      </c>
      <c r="S21">
        <f>HYPERLINK("https://klasma.github.io/Logging_0840/artfynd/A 28723-2024 artfynd.xlsx", "A 28723-2024")</f>
        <v/>
      </c>
      <c r="T21">
        <f>HYPERLINK("https://klasma.github.io/Logging_0840/kartor/A 28723-2024 karta.png", "A 28723-2024")</f>
        <v/>
      </c>
      <c r="U21">
        <f>HYPERLINK("https://klasma.github.io/Logging_0840/knärot/A 28723-2024 karta knärot.png", "A 28723-2024")</f>
        <v/>
      </c>
      <c r="V21">
        <f>HYPERLINK("https://klasma.github.io/Logging_0840/klagomål/A 28723-2024 FSC-klagomål.docx", "A 28723-2024")</f>
        <v/>
      </c>
      <c r="W21">
        <f>HYPERLINK("https://klasma.github.io/Logging_0840/klagomålsmail/A 28723-2024 FSC-klagomål mail.docx", "A 28723-2024")</f>
        <v/>
      </c>
      <c r="X21">
        <f>HYPERLINK("https://klasma.github.io/Logging_0840/tillsyn/A 28723-2024 tillsynsbegäran.docx", "A 28723-2024")</f>
        <v/>
      </c>
      <c r="Y21">
        <f>HYPERLINK("https://klasma.github.io/Logging_0840/tillsynsmail/A 28723-2024 tillsynsbegäran mail.docx", "A 28723-2024")</f>
        <v/>
      </c>
    </row>
    <row r="22" ht="15" customHeight="1">
      <c r="A22" t="inlineStr">
        <is>
          <t>A 39320-2024</t>
        </is>
      </c>
      <c r="B22" s="1" t="n">
        <v>45551</v>
      </c>
      <c r="C22" s="1" t="n">
        <v>45731</v>
      </c>
      <c r="D22" t="inlineStr">
        <is>
          <t>KALMAR LÄN</t>
        </is>
      </c>
      <c r="E22" t="inlineStr">
        <is>
          <t>MÖRBYLÅNGA</t>
        </is>
      </c>
      <c r="G22" t="n">
        <v>3.3</v>
      </c>
      <c r="H22" t="n">
        <v>0</v>
      </c>
      <c r="I22" t="n">
        <v>2</v>
      </c>
      <c r="J22" t="n">
        <v>1</v>
      </c>
      <c r="K22" t="n">
        <v>1</v>
      </c>
      <c r="L22" t="n">
        <v>0</v>
      </c>
      <c r="M22" t="n">
        <v>0</v>
      </c>
      <c r="N22" t="n">
        <v>0</v>
      </c>
      <c r="O22" t="n">
        <v>2</v>
      </c>
      <c r="P22" t="n">
        <v>1</v>
      </c>
      <c r="Q22" t="n">
        <v>4</v>
      </c>
      <c r="R22" s="2" t="inlineStr">
        <is>
          <t>Toppjungfrulin
Korskovall
Underviol
Vårärt</t>
        </is>
      </c>
      <c r="S22">
        <f>HYPERLINK("https://klasma.github.io/Logging_0840/artfynd/A 39320-2024 artfynd.xlsx", "A 39320-2024")</f>
        <v/>
      </c>
      <c r="T22">
        <f>HYPERLINK("https://klasma.github.io/Logging_0840/kartor/A 39320-2024 karta.png", "A 39320-2024")</f>
        <v/>
      </c>
      <c r="V22">
        <f>HYPERLINK("https://klasma.github.io/Logging_0840/klagomål/A 39320-2024 FSC-klagomål.docx", "A 39320-2024")</f>
        <v/>
      </c>
      <c r="W22">
        <f>HYPERLINK("https://klasma.github.io/Logging_0840/klagomålsmail/A 39320-2024 FSC-klagomål mail.docx", "A 39320-2024")</f>
        <v/>
      </c>
      <c r="X22">
        <f>HYPERLINK("https://klasma.github.io/Logging_0840/tillsyn/A 39320-2024 tillsynsbegäran.docx", "A 39320-2024")</f>
        <v/>
      </c>
      <c r="Y22">
        <f>HYPERLINK("https://klasma.github.io/Logging_0840/tillsynsmail/A 39320-2024 tillsynsbegäran mail.docx", "A 39320-2024")</f>
        <v/>
      </c>
    </row>
    <row r="23" ht="15" customHeight="1">
      <c r="A23" t="inlineStr">
        <is>
          <t>A 54167-2024</t>
        </is>
      </c>
      <c r="B23" s="1" t="n">
        <v>45616</v>
      </c>
      <c r="C23" s="1" t="n">
        <v>45731</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45731</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45731</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45731</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45731</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45731</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45731</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45731</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45731</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39367-2019</t>
        </is>
      </c>
      <c r="B32" s="1" t="n">
        <v>43690</v>
      </c>
      <c r="C32" s="1" t="n">
        <v>45731</v>
      </c>
      <c r="D32" t="inlineStr">
        <is>
          <t>KALMAR LÄN</t>
        </is>
      </c>
      <c r="E32" t="inlineStr">
        <is>
          <t>MÖRBYLÅNGA</t>
        </is>
      </c>
      <c r="G32" t="n">
        <v>1</v>
      </c>
      <c r="H32" t="n">
        <v>1</v>
      </c>
      <c r="I32" t="n">
        <v>0</v>
      </c>
      <c r="J32" t="n">
        <v>0</v>
      </c>
      <c r="K32" t="n">
        <v>0</v>
      </c>
      <c r="L32" t="n">
        <v>0</v>
      </c>
      <c r="M32" t="n">
        <v>0</v>
      </c>
      <c r="N32" t="n">
        <v>0</v>
      </c>
      <c r="O32" t="n">
        <v>0</v>
      </c>
      <c r="P32" t="n">
        <v>0</v>
      </c>
      <c r="Q32" t="n">
        <v>1</v>
      </c>
      <c r="R32" s="2" t="inlineStr">
        <is>
          <t>Blåsippa</t>
        </is>
      </c>
      <c r="S32">
        <f>HYPERLINK("https://klasma.github.io/Logging_0840/artfynd/A 39367-2019 artfynd.xlsx", "A 39367-2019")</f>
        <v/>
      </c>
      <c r="T32">
        <f>HYPERLINK("https://klasma.github.io/Logging_0840/kartor/A 39367-2019 karta.png", "A 39367-2019")</f>
        <v/>
      </c>
      <c r="V32">
        <f>HYPERLINK("https://klasma.github.io/Logging_0840/klagomål/A 39367-2019 FSC-klagomål.docx", "A 39367-2019")</f>
        <v/>
      </c>
      <c r="W32">
        <f>HYPERLINK("https://klasma.github.io/Logging_0840/klagomålsmail/A 39367-2019 FSC-klagomål mail.docx", "A 39367-2019")</f>
        <v/>
      </c>
      <c r="X32">
        <f>HYPERLINK("https://klasma.github.io/Logging_0840/tillsyn/A 39367-2019 tillsynsbegäran.docx", "A 39367-2019")</f>
        <v/>
      </c>
      <c r="Y32">
        <f>HYPERLINK("https://klasma.github.io/Logging_0840/tillsynsmail/A 39367-2019 tillsynsbegäran mail.docx", "A 39367-2019")</f>
        <v/>
      </c>
    </row>
    <row r="33" ht="15" customHeight="1">
      <c r="A33" t="inlineStr">
        <is>
          <t>A 48001-2019</t>
        </is>
      </c>
      <c r="B33" s="1" t="n">
        <v>43725</v>
      </c>
      <c r="C33" s="1" t="n">
        <v>45731</v>
      </c>
      <c r="D33" t="inlineStr">
        <is>
          <t>KALMAR LÄN</t>
        </is>
      </c>
      <c r="E33" t="inlineStr">
        <is>
          <t>MÖRBYLÅNGA</t>
        </is>
      </c>
      <c r="G33" t="n">
        <v>2.6</v>
      </c>
      <c r="H33" t="n">
        <v>0</v>
      </c>
      <c r="I33" t="n">
        <v>1</v>
      </c>
      <c r="J33" t="n">
        <v>0</v>
      </c>
      <c r="K33" t="n">
        <v>0</v>
      </c>
      <c r="L33" t="n">
        <v>0</v>
      </c>
      <c r="M33" t="n">
        <v>0</v>
      </c>
      <c r="N33" t="n">
        <v>0</v>
      </c>
      <c r="O33" t="n">
        <v>0</v>
      </c>
      <c r="P33" t="n">
        <v>0</v>
      </c>
      <c r="Q33" t="n">
        <v>1</v>
      </c>
      <c r="R33" s="2" t="inlineStr">
        <is>
          <t>Murgröna</t>
        </is>
      </c>
      <c r="S33">
        <f>HYPERLINK("https://klasma.github.io/Logging_0840/artfynd/A 48001-2019 artfynd.xlsx", "A 48001-2019")</f>
        <v/>
      </c>
      <c r="T33">
        <f>HYPERLINK("https://klasma.github.io/Logging_0840/kartor/A 48001-2019 karta.png", "A 48001-2019")</f>
        <v/>
      </c>
      <c r="V33">
        <f>HYPERLINK("https://klasma.github.io/Logging_0840/klagomål/A 48001-2019 FSC-klagomål.docx", "A 48001-2019")</f>
        <v/>
      </c>
      <c r="W33">
        <f>HYPERLINK("https://klasma.github.io/Logging_0840/klagomålsmail/A 48001-2019 FSC-klagomål mail.docx", "A 48001-2019")</f>
        <v/>
      </c>
      <c r="X33">
        <f>HYPERLINK("https://klasma.github.io/Logging_0840/tillsyn/A 48001-2019 tillsynsbegäran.docx", "A 48001-2019")</f>
        <v/>
      </c>
      <c r="Y33">
        <f>HYPERLINK("https://klasma.github.io/Logging_0840/tillsynsmail/A 48001-2019 tillsynsbegäran mail.docx", "A 48001-2019")</f>
        <v/>
      </c>
    </row>
    <row r="34" ht="15" customHeight="1">
      <c r="A34" t="inlineStr">
        <is>
          <t>A 22170-2020</t>
        </is>
      </c>
      <c r="B34" s="1" t="n">
        <v>43956</v>
      </c>
      <c r="C34" s="1" t="n">
        <v>45731</v>
      </c>
      <c r="D34" t="inlineStr">
        <is>
          <t>KALMAR LÄN</t>
        </is>
      </c>
      <c r="E34" t="inlineStr">
        <is>
          <t>MÖRBYLÅNGA</t>
        </is>
      </c>
      <c r="G34" t="n">
        <v>1.4</v>
      </c>
      <c r="H34" t="n">
        <v>0</v>
      </c>
      <c r="I34" t="n">
        <v>1</v>
      </c>
      <c r="J34" t="n">
        <v>0</v>
      </c>
      <c r="K34" t="n">
        <v>0</v>
      </c>
      <c r="L34" t="n">
        <v>0</v>
      </c>
      <c r="M34" t="n">
        <v>0</v>
      </c>
      <c r="N34" t="n">
        <v>0</v>
      </c>
      <c r="O34" t="n">
        <v>0</v>
      </c>
      <c r="P34" t="n">
        <v>0</v>
      </c>
      <c r="Q34" t="n">
        <v>1</v>
      </c>
      <c r="R34" s="2" t="inlineStr">
        <is>
          <t>Hässleklocka</t>
        </is>
      </c>
      <c r="S34">
        <f>HYPERLINK("https://klasma.github.io/Logging_0840/artfynd/A 22170-2020 artfynd.xlsx", "A 22170-2020")</f>
        <v/>
      </c>
      <c r="T34">
        <f>HYPERLINK("https://klasma.github.io/Logging_0840/kartor/A 22170-2020 karta.png", "A 22170-2020")</f>
        <v/>
      </c>
      <c r="V34">
        <f>HYPERLINK("https://klasma.github.io/Logging_0840/klagomål/A 22170-2020 FSC-klagomål.docx", "A 22170-2020")</f>
        <v/>
      </c>
      <c r="W34">
        <f>HYPERLINK("https://klasma.github.io/Logging_0840/klagomålsmail/A 22170-2020 FSC-klagomål mail.docx", "A 22170-2020")</f>
        <v/>
      </c>
      <c r="X34">
        <f>HYPERLINK("https://klasma.github.io/Logging_0840/tillsyn/A 22170-2020 tillsynsbegäran.docx", "A 22170-2020")</f>
        <v/>
      </c>
      <c r="Y34">
        <f>HYPERLINK("https://klasma.github.io/Logging_0840/tillsynsmail/A 22170-2020 tillsynsbegäran mail.docx", "A 22170-2020")</f>
        <v/>
      </c>
    </row>
    <row r="35" ht="15" customHeight="1">
      <c r="A35" t="inlineStr">
        <is>
          <t>A 42694-2020</t>
        </is>
      </c>
      <c r="B35" s="1" t="n">
        <v>44077</v>
      </c>
      <c r="C35" s="1" t="n">
        <v>45731</v>
      </c>
      <c r="D35" t="inlineStr">
        <is>
          <t>KALMAR LÄN</t>
        </is>
      </c>
      <c r="E35" t="inlineStr">
        <is>
          <t>MÖRBYLÅNGA</t>
        </is>
      </c>
      <c r="G35" t="n">
        <v>0.9</v>
      </c>
      <c r="H35" t="n">
        <v>0</v>
      </c>
      <c r="I35" t="n">
        <v>0</v>
      </c>
      <c r="J35" t="n">
        <v>0</v>
      </c>
      <c r="K35" t="n">
        <v>1</v>
      </c>
      <c r="L35" t="n">
        <v>0</v>
      </c>
      <c r="M35" t="n">
        <v>0</v>
      </c>
      <c r="N35" t="n">
        <v>0</v>
      </c>
      <c r="O35" t="n">
        <v>1</v>
      </c>
      <c r="P35" t="n">
        <v>1</v>
      </c>
      <c r="Q35" t="n">
        <v>1</v>
      </c>
      <c r="R35" s="2" t="inlineStr">
        <is>
          <t>Gaffelfibbla</t>
        </is>
      </c>
      <c r="S35">
        <f>HYPERLINK("https://klasma.github.io/Logging_0840/artfynd/A 42694-2020 artfynd.xlsx", "A 42694-2020")</f>
        <v/>
      </c>
      <c r="T35">
        <f>HYPERLINK("https://klasma.github.io/Logging_0840/kartor/A 42694-2020 karta.png", "A 42694-2020")</f>
        <v/>
      </c>
      <c r="V35">
        <f>HYPERLINK("https://klasma.github.io/Logging_0840/klagomål/A 42694-2020 FSC-klagomål.docx", "A 42694-2020")</f>
        <v/>
      </c>
      <c r="W35">
        <f>HYPERLINK("https://klasma.github.io/Logging_0840/klagomålsmail/A 42694-2020 FSC-klagomål mail.docx", "A 42694-2020")</f>
        <v/>
      </c>
      <c r="X35">
        <f>HYPERLINK("https://klasma.github.io/Logging_0840/tillsyn/A 42694-2020 tillsynsbegäran.docx", "A 42694-2020")</f>
        <v/>
      </c>
      <c r="Y35">
        <f>HYPERLINK("https://klasma.github.io/Logging_0840/tillsynsmail/A 42694-2020 tillsynsbegäran mail.docx", "A 42694-2020")</f>
        <v/>
      </c>
    </row>
    <row r="36" ht="15" customHeight="1">
      <c r="A36" t="inlineStr">
        <is>
          <t>A 51244-2021</t>
        </is>
      </c>
      <c r="B36" s="1" t="n">
        <v>44460</v>
      </c>
      <c r="C36" s="1" t="n">
        <v>45731</v>
      </c>
      <c r="D36" t="inlineStr">
        <is>
          <t>KALMAR LÄN</t>
        </is>
      </c>
      <c r="E36" t="inlineStr">
        <is>
          <t>MÖRBYLÅNGA</t>
        </is>
      </c>
      <c r="G36" t="n">
        <v>1.9</v>
      </c>
      <c r="H36" t="n">
        <v>0</v>
      </c>
      <c r="I36" t="n">
        <v>0</v>
      </c>
      <c r="J36" t="n">
        <v>0</v>
      </c>
      <c r="K36" t="n">
        <v>0</v>
      </c>
      <c r="L36" t="n">
        <v>1</v>
      </c>
      <c r="M36" t="n">
        <v>0</v>
      </c>
      <c r="N36" t="n">
        <v>0</v>
      </c>
      <c r="O36" t="n">
        <v>1</v>
      </c>
      <c r="P36" t="n">
        <v>1</v>
      </c>
      <c r="Q36" t="n">
        <v>1</v>
      </c>
      <c r="R36" s="2" t="inlineStr">
        <is>
          <t>Stäppbandbi</t>
        </is>
      </c>
      <c r="S36">
        <f>HYPERLINK("https://klasma.github.io/Logging_0840/artfynd/A 51244-2021 artfynd.xlsx", "A 51244-2021")</f>
        <v/>
      </c>
      <c r="T36">
        <f>HYPERLINK("https://klasma.github.io/Logging_0840/kartor/A 51244-2021 karta.png", "A 51244-2021")</f>
        <v/>
      </c>
      <c r="V36">
        <f>HYPERLINK("https://klasma.github.io/Logging_0840/klagomål/A 51244-2021 FSC-klagomål.docx", "A 51244-2021")</f>
        <v/>
      </c>
      <c r="W36">
        <f>HYPERLINK("https://klasma.github.io/Logging_0840/klagomålsmail/A 51244-2021 FSC-klagomål mail.docx", "A 51244-2021")</f>
        <v/>
      </c>
      <c r="X36">
        <f>HYPERLINK("https://klasma.github.io/Logging_0840/tillsyn/A 51244-2021 tillsynsbegäran.docx", "A 51244-2021")</f>
        <v/>
      </c>
      <c r="Y36">
        <f>HYPERLINK("https://klasma.github.io/Logging_0840/tillsynsmail/A 51244-2021 tillsynsbegäran mail.docx", "A 51244-2021")</f>
        <v/>
      </c>
    </row>
    <row r="37" ht="15" customHeight="1">
      <c r="A37" t="inlineStr">
        <is>
          <t>A 54192-2021</t>
        </is>
      </c>
      <c r="B37" s="1" t="n">
        <v>44470</v>
      </c>
      <c r="C37" s="1" t="n">
        <v>45731</v>
      </c>
      <c r="D37" t="inlineStr">
        <is>
          <t>KALMAR LÄN</t>
        </is>
      </c>
      <c r="E37" t="inlineStr">
        <is>
          <t>MÖRBYLÅNGA</t>
        </is>
      </c>
      <c r="G37" t="n">
        <v>1.5</v>
      </c>
      <c r="H37" t="n">
        <v>0</v>
      </c>
      <c r="I37" t="n">
        <v>0</v>
      </c>
      <c r="J37" t="n">
        <v>1</v>
      </c>
      <c r="K37" t="n">
        <v>0</v>
      </c>
      <c r="L37" t="n">
        <v>0</v>
      </c>
      <c r="M37" t="n">
        <v>0</v>
      </c>
      <c r="N37" t="n">
        <v>0</v>
      </c>
      <c r="O37" t="n">
        <v>1</v>
      </c>
      <c r="P37" t="n">
        <v>0</v>
      </c>
      <c r="Q37" t="n">
        <v>1</v>
      </c>
      <c r="R37" s="2" t="inlineStr">
        <is>
          <t>Sminkrot</t>
        </is>
      </c>
      <c r="S37">
        <f>HYPERLINK("https://klasma.github.io/Logging_0840/artfynd/A 54192-2021 artfynd.xlsx", "A 54192-2021")</f>
        <v/>
      </c>
      <c r="T37">
        <f>HYPERLINK("https://klasma.github.io/Logging_0840/kartor/A 54192-2021 karta.png", "A 54192-2021")</f>
        <v/>
      </c>
      <c r="V37">
        <f>HYPERLINK("https://klasma.github.io/Logging_0840/klagomål/A 54192-2021 FSC-klagomål.docx", "A 54192-2021")</f>
        <v/>
      </c>
      <c r="W37">
        <f>HYPERLINK("https://klasma.github.io/Logging_0840/klagomålsmail/A 54192-2021 FSC-klagomål mail.docx", "A 54192-2021")</f>
        <v/>
      </c>
      <c r="X37">
        <f>HYPERLINK("https://klasma.github.io/Logging_0840/tillsyn/A 54192-2021 tillsynsbegäran.docx", "A 54192-2021")</f>
        <v/>
      </c>
      <c r="Y37">
        <f>HYPERLINK("https://klasma.github.io/Logging_0840/tillsynsmail/A 54192-2021 tillsynsbegäran mail.docx", "A 54192-2021")</f>
        <v/>
      </c>
    </row>
    <row r="38" ht="15" customHeight="1">
      <c r="A38" t="inlineStr">
        <is>
          <t>A 19459-2023</t>
        </is>
      </c>
      <c r="B38" s="1" t="n">
        <v>45049</v>
      </c>
      <c r="C38" s="1" t="n">
        <v>45731</v>
      </c>
      <c r="D38" t="inlineStr">
        <is>
          <t>KALMAR LÄN</t>
        </is>
      </c>
      <c r="E38" t="inlineStr">
        <is>
          <t>MÖRBYLÅNGA</t>
        </is>
      </c>
      <c r="G38" t="n">
        <v>1.6</v>
      </c>
      <c r="H38" t="n">
        <v>0</v>
      </c>
      <c r="I38" t="n">
        <v>0</v>
      </c>
      <c r="J38" t="n">
        <v>0</v>
      </c>
      <c r="K38" t="n">
        <v>1</v>
      </c>
      <c r="L38" t="n">
        <v>0</v>
      </c>
      <c r="M38" t="n">
        <v>0</v>
      </c>
      <c r="N38" t="n">
        <v>0</v>
      </c>
      <c r="O38" t="n">
        <v>1</v>
      </c>
      <c r="P38" t="n">
        <v>1</v>
      </c>
      <c r="Q38" t="n">
        <v>1</v>
      </c>
      <c r="R38" s="2" t="inlineStr">
        <is>
          <t>Luddvicker</t>
        </is>
      </c>
      <c r="S38">
        <f>HYPERLINK("https://klasma.github.io/Logging_0840/artfynd/A 19459-2023 artfynd.xlsx", "A 19459-2023")</f>
        <v/>
      </c>
      <c r="T38">
        <f>HYPERLINK("https://klasma.github.io/Logging_0840/kartor/A 19459-2023 karta.png", "A 19459-2023")</f>
        <v/>
      </c>
      <c r="V38">
        <f>HYPERLINK("https://klasma.github.io/Logging_0840/klagomål/A 19459-2023 FSC-klagomål.docx", "A 19459-2023")</f>
        <v/>
      </c>
      <c r="W38">
        <f>HYPERLINK("https://klasma.github.io/Logging_0840/klagomålsmail/A 19459-2023 FSC-klagomål mail.docx", "A 19459-2023")</f>
        <v/>
      </c>
      <c r="X38">
        <f>HYPERLINK("https://klasma.github.io/Logging_0840/tillsyn/A 19459-2023 tillsynsbegäran.docx", "A 19459-2023")</f>
        <v/>
      </c>
      <c r="Y38">
        <f>HYPERLINK("https://klasma.github.io/Logging_0840/tillsynsmail/A 19459-2023 tillsynsbegäran mail.docx", "A 19459-2023")</f>
        <v/>
      </c>
    </row>
    <row r="39" ht="15" customHeight="1">
      <c r="A39" t="inlineStr">
        <is>
          <t>A 24700-2023</t>
        </is>
      </c>
      <c r="B39" s="1" t="n">
        <v>45084</v>
      </c>
      <c r="C39" s="1" t="n">
        <v>45731</v>
      </c>
      <c r="D39" t="inlineStr">
        <is>
          <t>KALMAR LÄN</t>
        </is>
      </c>
      <c r="E39" t="inlineStr">
        <is>
          <t>MÖRBYLÅNGA</t>
        </is>
      </c>
      <c r="G39" t="n">
        <v>3</v>
      </c>
      <c r="H39" t="n">
        <v>0</v>
      </c>
      <c r="I39" t="n">
        <v>1</v>
      </c>
      <c r="J39" t="n">
        <v>0</v>
      </c>
      <c r="K39" t="n">
        <v>0</v>
      </c>
      <c r="L39" t="n">
        <v>0</v>
      </c>
      <c r="M39" t="n">
        <v>0</v>
      </c>
      <c r="N39" t="n">
        <v>0</v>
      </c>
      <c r="O39" t="n">
        <v>0</v>
      </c>
      <c r="P39" t="n">
        <v>0</v>
      </c>
      <c r="Q39" t="n">
        <v>1</v>
      </c>
      <c r="R39" s="2" t="inlineStr">
        <is>
          <t>Sårläka</t>
        </is>
      </c>
      <c r="S39">
        <f>HYPERLINK("https://klasma.github.io/Logging_0840/artfynd/A 24700-2023 artfynd.xlsx", "A 24700-2023")</f>
        <v/>
      </c>
      <c r="T39">
        <f>HYPERLINK("https://klasma.github.io/Logging_0840/kartor/A 24700-2023 karta.png", "A 24700-2023")</f>
        <v/>
      </c>
      <c r="V39">
        <f>HYPERLINK("https://klasma.github.io/Logging_0840/klagomål/A 24700-2023 FSC-klagomål.docx", "A 24700-2023")</f>
        <v/>
      </c>
      <c r="W39">
        <f>HYPERLINK("https://klasma.github.io/Logging_0840/klagomålsmail/A 24700-2023 FSC-klagomål mail.docx", "A 24700-2023")</f>
        <v/>
      </c>
      <c r="X39">
        <f>HYPERLINK("https://klasma.github.io/Logging_0840/tillsyn/A 24700-2023 tillsynsbegäran.docx", "A 24700-2023")</f>
        <v/>
      </c>
      <c r="Y39">
        <f>HYPERLINK("https://klasma.github.io/Logging_0840/tillsynsmail/A 24700-2023 tillsynsbegäran mail.docx", "A 24700-2023")</f>
        <v/>
      </c>
    </row>
    <row r="40" ht="15" customHeight="1">
      <c r="A40" t="inlineStr">
        <is>
          <t>A 24695-2023</t>
        </is>
      </c>
      <c r="B40" s="1" t="n">
        <v>45084</v>
      </c>
      <c r="C40" s="1" t="n">
        <v>45731</v>
      </c>
      <c r="D40" t="inlineStr">
        <is>
          <t>KALMAR LÄN</t>
        </is>
      </c>
      <c r="E40" t="inlineStr">
        <is>
          <t>MÖRBYLÅNGA</t>
        </is>
      </c>
      <c r="G40" t="n">
        <v>8.5</v>
      </c>
      <c r="H40" t="n">
        <v>0</v>
      </c>
      <c r="I40" t="n">
        <v>0</v>
      </c>
      <c r="J40" t="n">
        <v>0</v>
      </c>
      <c r="K40" t="n">
        <v>0</v>
      </c>
      <c r="L40" t="n">
        <v>1</v>
      </c>
      <c r="M40" t="n">
        <v>0</v>
      </c>
      <c r="N40" t="n">
        <v>0</v>
      </c>
      <c r="O40" t="n">
        <v>1</v>
      </c>
      <c r="P40" t="n">
        <v>1</v>
      </c>
      <c r="Q40" t="n">
        <v>1</v>
      </c>
      <c r="R40" s="2" t="inlineStr">
        <is>
          <t>Ask</t>
        </is>
      </c>
      <c r="S40">
        <f>HYPERLINK("https://klasma.github.io/Logging_0840/artfynd/A 24695-2023 artfynd.xlsx", "A 24695-2023")</f>
        <v/>
      </c>
      <c r="T40">
        <f>HYPERLINK("https://klasma.github.io/Logging_0840/kartor/A 24695-2023 karta.png", "A 24695-2023")</f>
        <v/>
      </c>
      <c r="V40">
        <f>HYPERLINK("https://klasma.github.io/Logging_0840/klagomål/A 24695-2023 FSC-klagomål.docx", "A 24695-2023")</f>
        <v/>
      </c>
      <c r="W40">
        <f>HYPERLINK("https://klasma.github.io/Logging_0840/klagomålsmail/A 24695-2023 FSC-klagomål mail.docx", "A 24695-2023")</f>
        <v/>
      </c>
      <c r="X40">
        <f>HYPERLINK("https://klasma.github.io/Logging_0840/tillsyn/A 24695-2023 tillsynsbegäran.docx", "A 24695-2023")</f>
        <v/>
      </c>
      <c r="Y40">
        <f>HYPERLINK("https://klasma.github.io/Logging_0840/tillsynsmail/A 24695-2023 tillsynsbegäran mail.docx", "A 24695-2023")</f>
        <v/>
      </c>
    </row>
    <row r="41" ht="15" customHeight="1">
      <c r="A41" t="inlineStr">
        <is>
          <t>A 24698-2023</t>
        </is>
      </c>
      <c r="B41" s="1" t="n">
        <v>45084</v>
      </c>
      <c r="C41" s="1" t="n">
        <v>45731</v>
      </c>
      <c r="D41" t="inlineStr">
        <is>
          <t>KALMAR LÄN</t>
        </is>
      </c>
      <c r="E41" t="inlineStr">
        <is>
          <t>MÖRBYLÅNGA</t>
        </is>
      </c>
      <c r="G41" t="n">
        <v>5.5</v>
      </c>
      <c r="H41" t="n">
        <v>0</v>
      </c>
      <c r="I41" t="n">
        <v>1</v>
      </c>
      <c r="J41" t="n">
        <v>0</v>
      </c>
      <c r="K41" t="n">
        <v>0</v>
      </c>
      <c r="L41" t="n">
        <v>0</v>
      </c>
      <c r="M41" t="n">
        <v>0</v>
      </c>
      <c r="N41" t="n">
        <v>0</v>
      </c>
      <c r="O41" t="n">
        <v>0</v>
      </c>
      <c r="P41" t="n">
        <v>0</v>
      </c>
      <c r="Q41" t="n">
        <v>1</v>
      </c>
      <c r="R41" s="2" t="inlineStr">
        <is>
          <t>Sårläka</t>
        </is>
      </c>
      <c r="S41">
        <f>HYPERLINK("https://klasma.github.io/Logging_0840/artfynd/A 24698-2023 artfynd.xlsx", "A 24698-2023")</f>
        <v/>
      </c>
      <c r="T41">
        <f>HYPERLINK("https://klasma.github.io/Logging_0840/kartor/A 24698-2023 karta.png", "A 24698-2023")</f>
        <v/>
      </c>
      <c r="V41">
        <f>HYPERLINK("https://klasma.github.io/Logging_0840/klagomål/A 24698-2023 FSC-klagomål.docx", "A 24698-2023")</f>
        <v/>
      </c>
      <c r="W41">
        <f>HYPERLINK("https://klasma.github.io/Logging_0840/klagomålsmail/A 24698-2023 FSC-klagomål mail.docx", "A 24698-2023")</f>
        <v/>
      </c>
      <c r="X41">
        <f>HYPERLINK("https://klasma.github.io/Logging_0840/tillsyn/A 24698-2023 tillsynsbegäran.docx", "A 24698-2023")</f>
        <v/>
      </c>
      <c r="Y41">
        <f>HYPERLINK("https://klasma.github.io/Logging_0840/tillsynsmail/A 24698-2023 tillsynsbegäran mail.docx", "A 24698-2023")</f>
        <v/>
      </c>
    </row>
    <row r="42" ht="15" customHeight="1">
      <c r="A42" t="inlineStr">
        <is>
          <t>A 24851-2019</t>
        </is>
      </c>
      <c r="B42" s="1" t="n">
        <v>43602</v>
      </c>
      <c r="C42" s="1" t="n">
        <v>45731</v>
      </c>
      <c r="D42" t="inlineStr">
        <is>
          <t>KALMAR LÄN</t>
        </is>
      </c>
      <c r="E42" t="inlineStr">
        <is>
          <t>MÖRBYLÅNGA</t>
        </is>
      </c>
      <c r="G42" t="n">
        <v>2</v>
      </c>
      <c r="H42" t="n">
        <v>0</v>
      </c>
      <c r="I42" t="n">
        <v>0</v>
      </c>
      <c r="J42" t="n">
        <v>0</v>
      </c>
      <c r="K42" t="n">
        <v>0</v>
      </c>
      <c r="L42" t="n">
        <v>0</v>
      </c>
      <c r="M42" t="n">
        <v>0</v>
      </c>
      <c r="N42" t="n">
        <v>0</v>
      </c>
      <c r="O42" t="n">
        <v>0</v>
      </c>
      <c r="P42" t="n">
        <v>0</v>
      </c>
      <c r="Q42" t="n">
        <v>0</v>
      </c>
      <c r="R42" s="2" t="inlineStr"/>
    </row>
    <row r="43" ht="15" customHeight="1">
      <c r="A43" t="inlineStr">
        <is>
          <t>A 26563-2019</t>
        </is>
      </c>
      <c r="B43" s="1" t="n">
        <v>43612</v>
      </c>
      <c r="C43" s="1" t="n">
        <v>45731</v>
      </c>
      <c r="D43" t="inlineStr">
        <is>
          <t>KALMAR LÄN</t>
        </is>
      </c>
      <c r="E43" t="inlineStr">
        <is>
          <t>MÖRBYLÅNGA</t>
        </is>
      </c>
      <c r="G43" t="n">
        <v>0.8</v>
      </c>
      <c r="H43" t="n">
        <v>0</v>
      </c>
      <c r="I43" t="n">
        <v>0</v>
      </c>
      <c r="J43" t="n">
        <v>0</v>
      </c>
      <c r="K43" t="n">
        <v>0</v>
      </c>
      <c r="L43" t="n">
        <v>0</v>
      </c>
      <c r="M43" t="n">
        <v>0</v>
      </c>
      <c r="N43" t="n">
        <v>0</v>
      </c>
      <c r="O43" t="n">
        <v>0</v>
      </c>
      <c r="P43" t="n">
        <v>0</v>
      </c>
      <c r="Q43" t="n">
        <v>0</v>
      </c>
      <c r="R43" s="2" t="inlineStr"/>
    </row>
    <row r="44" ht="15" customHeight="1">
      <c r="A44" t="inlineStr">
        <is>
          <t>A 33750-2019</t>
        </is>
      </c>
      <c r="B44" s="1" t="n">
        <v>43644</v>
      </c>
      <c r="C44" s="1" t="n">
        <v>45731</v>
      </c>
      <c r="D44" t="inlineStr">
        <is>
          <t>KALMAR LÄN</t>
        </is>
      </c>
      <c r="E44" t="inlineStr">
        <is>
          <t>MÖRBYLÅNGA</t>
        </is>
      </c>
      <c r="G44" t="n">
        <v>2.4</v>
      </c>
      <c r="H44" t="n">
        <v>0</v>
      </c>
      <c r="I44" t="n">
        <v>0</v>
      </c>
      <c r="J44" t="n">
        <v>0</v>
      </c>
      <c r="K44" t="n">
        <v>0</v>
      </c>
      <c r="L44" t="n">
        <v>0</v>
      </c>
      <c r="M44" t="n">
        <v>0</v>
      </c>
      <c r="N44" t="n">
        <v>0</v>
      </c>
      <c r="O44" t="n">
        <v>0</v>
      </c>
      <c r="P44" t="n">
        <v>0</v>
      </c>
      <c r="Q44" t="n">
        <v>0</v>
      </c>
      <c r="R44" s="2" t="inlineStr"/>
    </row>
    <row r="45" ht="15" customHeight="1">
      <c r="A45" t="inlineStr">
        <is>
          <t>A 47897-2019</t>
        </is>
      </c>
      <c r="B45" s="1" t="n">
        <v>43725</v>
      </c>
      <c r="C45" s="1" t="n">
        <v>45731</v>
      </c>
      <c r="D45" t="inlineStr">
        <is>
          <t>KALMAR LÄN</t>
        </is>
      </c>
      <c r="E45" t="inlineStr">
        <is>
          <t>MÖRBYLÅNGA</t>
        </is>
      </c>
      <c r="G45" t="n">
        <v>2.1</v>
      </c>
      <c r="H45" t="n">
        <v>0</v>
      </c>
      <c r="I45" t="n">
        <v>0</v>
      </c>
      <c r="J45" t="n">
        <v>0</v>
      </c>
      <c r="K45" t="n">
        <v>0</v>
      </c>
      <c r="L45" t="n">
        <v>0</v>
      </c>
      <c r="M45" t="n">
        <v>0</v>
      </c>
      <c r="N45" t="n">
        <v>0</v>
      </c>
      <c r="O45" t="n">
        <v>0</v>
      </c>
      <c r="P45" t="n">
        <v>0</v>
      </c>
      <c r="Q45" t="n">
        <v>0</v>
      </c>
      <c r="R45" s="2" t="inlineStr"/>
    </row>
    <row r="46" ht="15" customHeight="1">
      <c r="A46" t="inlineStr">
        <is>
          <t>A 47870-2019</t>
        </is>
      </c>
      <c r="B46" s="1" t="n">
        <v>43725</v>
      </c>
      <c r="C46" s="1" t="n">
        <v>45731</v>
      </c>
      <c r="D46" t="inlineStr">
        <is>
          <t>KALMAR LÄN</t>
        </is>
      </c>
      <c r="E46" t="inlineStr">
        <is>
          <t>MÖRBYLÅNGA</t>
        </is>
      </c>
      <c r="G46" t="n">
        <v>8.6</v>
      </c>
      <c r="H46" t="n">
        <v>0</v>
      </c>
      <c r="I46" t="n">
        <v>0</v>
      </c>
      <c r="J46" t="n">
        <v>0</v>
      </c>
      <c r="K46" t="n">
        <v>0</v>
      </c>
      <c r="L46" t="n">
        <v>0</v>
      </c>
      <c r="M46" t="n">
        <v>0</v>
      </c>
      <c r="N46" t="n">
        <v>0</v>
      </c>
      <c r="O46" t="n">
        <v>0</v>
      </c>
      <c r="P46" t="n">
        <v>0</v>
      </c>
      <c r="Q46" t="n">
        <v>0</v>
      </c>
      <c r="R46" s="2" t="inlineStr"/>
    </row>
    <row r="47" ht="15" customHeight="1">
      <c r="A47" t="inlineStr">
        <is>
          <t>A 53552-2019</t>
        </is>
      </c>
      <c r="B47" s="1" t="n">
        <v>43749</v>
      </c>
      <c r="C47" s="1" t="n">
        <v>45731</v>
      </c>
      <c r="D47" t="inlineStr">
        <is>
          <t>KALMAR LÄN</t>
        </is>
      </c>
      <c r="E47" t="inlineStr">
        <is>
          <t>MÖRBYLÅNGA</t>
        </is>
      </c>
      <c r="G47" t="n">
        <v>0.5</v>
      </c>
      <c r="H47" t="n">
        <v>0</v>
      </c>
      <c r="I47" t="n">
        <v>0</v>
      </c>
      <c r="J47" t="n">
        <v>0</v>
      </c>
      <c r="K47" t="n">
        <v>0</v>
      </c>
      <c r="L47" t="n">
        <v>0</v>
      </c>
      <c r="M47" t="n">
        <v>0</v>
      </c>
      <c r="N47" t="n">
        <v>0</v>
      </c>
      <c r="O47" t="n">
        <v>0</v>
      </c>
      <c r="P47" t="n">
        <v>0</v>
      </c>
      <c r="Q47" t="n">
        <v>0</v>
      </c>
      <c r="R47" s="2" t="inlineStr"/>
    </row>
    <row r="48" ht="15" customHeight="1">
      <c r="A48" t="inlineStr">
        <is>
          <t>A 65941-2019</t>
        </is>
      </c>
      <c r="B48" s="1" t="n">
        <v>43801</v>
      </c>
      <c r="C48" s="1" t="n">
        <v>45731</v>
      </c>
      <c r="D48" t="inlineStr">
        <is>
          <t>KALMAR LÄN</t>
        </is>
      </c>
      <c r="E48" t="inlineStr">
        <is>
          <t>MÖRBYLÅNGA</t>
        </is>
      </c>
      <c r="G48" t="n">
        <v>1.6</v>
      </c>
      <c r="H48" t="n">
        <v>0</v>
      </c>
      <c r="I48" t="n">
        <v>0</v>
      </c>
      <c r="J48" t="n">
        <v>0</v>
      </c>
      <c r="K48" t="n">
        <v>0</v>
      </c>
      <c r="L48" t="n">
        <v>0</v>
      </c>
      <c r="M48" t="n">
        <v>0</v>
      </c>
      <c r="N48" t="n">
        <v>0</v>
      </c>
      <c r="O48" t="n">
        <v>0</v>
      </c>
      <c r="P48" t="n">
        <v>0</v>
      </c>
      <c r="Q48" t="n">
        <v>0</v>
      </c>
      <c r="R48" s="2" t="inlineStr"/>
    </row>
    <row r="49" ht="15" customHeight="1">
      <c r="A49" t="inlineStr">
        <is>
          <t>A 33675-2020</t>
        </is>
      </c>
      <c r="B49" s="1" t="n">
        <v>44026</v>
      </c>
      <c r="C49" s="1" t="n">
        <v>45731</v>
      </c>
      <c r="D49" t="inlineStr">
        <is>
          <t>KALMAR LÄN</t>
        </is>
      </c>
      <c r="E49" t="inlineStr">
        <is>
          <t>MÖRBYLÅNGA</t>
        </is>
      </c>
      <c r="G49" t="n">
        <v>4.8</v>
      </c>
      <c r="H49" t="n">
        <v>0</v>
      </c>
      <c r="I49" t="n">
        <v>0</v>
      </c>
      <c r="J49" t="n">
        <v>0</v>
      </c>
      <c r="K49" t="n">
        <v>0</v>
      </c>
      <c r="L49" t="n">
        <v>0</v>
      </c>
      <c r="M49" t="n">
        <v>0</v>
      </c>
      <c r="N49" t="n">
        <v>0</v>
      </c>
      <c r="O49" t="n">
        <v>0</v>
      </c>
      <c r="P49" t="n">
        <v>0</v>
      </c>
      <c r="Q49" t="n">
        <v>0</v>
      </c>
      <c r="R49" s="2" t="inlineStr"/>
    </row>
    <row r="50" ht="15" customHeight="1">
      <c r="A50" t="inlineStr">
        <is>
          <t>A 61865-2020</t>
        </is>
      </c>
      <c r="B50" s="1" t="n">
        <v>44155</v>
      </c>
      <c r="C50" s="1" t="n">
        <v>45731</v>
      </c>
      <c r="D50" t="inlineStr">
        <is>
          <t>KALMAR LÄN</t>
        </is>
      </c>
      <c r="E50" t="inlineStr">
        <is>
          <t>MÖRBYLÅNGA</t>
        </is>
      </c>
      <c r="G50" t="n">
        <v>5</v>
      </c>
      <c r="H50" t="n">
        <v>0</v>
      </c>
      <c r="I50" t="n">
        <v>0</v>
      </c>
      <c r="J50" t="n">
        <v>0</v>
      </c>
      <c r="K50" t="n">
        <v>0</v>
      </c>
      <c r="L50" t="n">
        <v>0</v>
      </c>
      <c r="M50" t="n">
        <v>0</v>
      </c>
      <c r="N50" t="n">
        <v>0</v>
      </c>
      <c r="O50" t="n">
        <v>0</v>
      </c>
      <c r="P50" t="n">
        <v>0</v>
      </c>
      <c r="Q50" t="n">
        <v>0</v>
      </c>
      <c r="R50" s="2" t="inlineStr"/>
    </row>
    <row r="51" ht="15" customHeight="1">
      <c r="A51" t="inlineStr">
        <is>
          <t>A 31716-2021</t>
        </is>
      </c>
      <c r="B51" s="1" t="n">
        <v>44369</v>
      </c>
      <c r="C51" s="1" t="n">
        <v>45731</v>
      </c>
      <c r="D51" t="inlineStr">
        <is>
          <t>KALMAR LÄN</t>
        </is>
      </c>
      <c r="E51" t="inlineStr">
        <is>
          <t>MÖRBYLÅNGA</t>
        </is>
      </c>
      <c r="G51" t="n">
        <v>3.6</v>
      </c>
      <c r="H51" t="n">
        <v>0</v>
      </c>
      <c r="I51" t="n">
        <v>0</v>
      </c>
      <c r="J51" t="n">
        <v>0</v>
      </c>
      <c r="K51" t="n">
        <v>0</v>
      </c>
      <c r="L51" t="n">
        <v>0</v>
      </c>
      <c r="M51" t="n">
        <v>0</v>
      </c>
      <c r="N51" t="n">
        <v>0</v>
      </c>
      <c r="O51" t="n">
        <v>0</v>
      </c>
      <c r="P51" t="n">
        <v>0</v>
      </c>
      <c r="Q51" t="n">
        <v>0</v>
      </c>
      <c r="R51" s="2" t="inlineStr"/>
    </row>
    <row r="52" ht="15" customHeight="1">
      <c r="A52" t="inlineStr">
        <is>
          <t>A 53047-2021</t>
        </is>
      </c>
      <c r="B52" s="1" t="n">
        <v>44467</v>
      </c>
      <c r="C52" s="1" t="n">
        <v>45731</v>
      </c>
      <c r="D52" t="inlineStr">
        <is>
          <t>KALMAR LÄN</t>
        </is>
      </c>
      <c r="E52" t="inlineStr">
        <is>
          <t>MÖRBYLÅNGA</t>
        </is>
      </c>
      <c r="G52" t="n">
        <v>0.9</v>
      </c>
      <c r="H52" t="n">
        <v>0</v>
      </c>
      <c r="I52" t="n">
        <v>0</v>
      </c>
      <c r="J52" t="n">
        <v>0</v>
      </c>
      <c r="K52" t="n">
        <v>0</v>
      </c>
      <c r="L52" t="n">
        <v>0</v>
      </c>
      <c r="M52" t="n">
        <v>0</v>
      </c>
      <c r="N52" t="n">
        <v>0</v>
      </c>
      <c r="O52" t="n">
        <v>0</v>
      </c>
      <c r="P52" t="n">
        <v>0</v>
      </c>
      <c r="Q52" t="n">
        <v>0</v>
      </c>
      <c r="R52" s="2" t="inlineStr"/>
    </row>
    <row r="53" ht="15" customHeight="1">
      <c r="A53" t="inlineStr">
        <is>
          <t>A 72167-2021</t>
        </is>
      </c>
      <c r="B53" s="1" t="n">
        <v>44544</v>
      </c>
      <c r="C53" s="1" t="n">
        <v>45731</v>
      </c>
      <c r="D53" t="inlineStr">
        <is>
          <t>KALMAR LÄN</t>
        </is>
      </c>
      <c r="E53" t="inlineStr">
        <is>
          <t>MÖRBYLÅNGA</t>
        </is>
      </c>
      <c r="G53" t="n">
        <v>3.5</v>
      </c>
      <c r="H53" t="n">
        <v>0</v>
      </c>
      <c r="I53" t="n">
        <v>0</v>
      </c>
      <c r="J53" t="n">
        <v>0</v>
      </c>
      <c r="K53" t="n">
        <v>0</v>
      </c>
      <c r="L53" t="n">
        <v>0</v>
      </c>
      <c r="M53" t="n">
        <v>0</v>
      </c>
      <c r="N53" t="n">
        <v>0</v>
      </c>
      <c r="O53" t="n">
        <v>0</v>
      </c>
      <c r="P53" t="n">
        <v>0</v>
      </c>
      <c r="Q53" t="n">
        <v>0</v>
      </c>
      <c r="R53" s="2" t="inlineStr"/>
    </row>
    <row r="54" ht="15" customHeight="1">
      <c r="A54" t="inlineStr">
        <is>
          <t>A 8999-2022</t>
        </is>
      </c>
      <c r="B54" s="1" t="n">
        <v>44614</v>
      </c>
      <c r="C54" s="1" t="n">
        <v>45731</v>
      </c>
      <c r="D54" t="inlineStr">
        <is>
          <t>KALMAR LÄN</t>
        </is>
      </c>
      <c r="E54" t="inlineStr">
        <is>
          <t>MÖRBYLÅNGA</t>
        </is>
      </c>
      <c r="F54" t="inlineStr">
        <is>
          <t>Kyrkan</t>
        </is>
      </c>
      <c r="G54" t="n">
        <v>0.8</v>
      </c>
      <c r="H54" t="n">
        <v>0</v>
      </c>
      <c r="I54" t="n">
        <v>0</v>
      </c>
      <c r="J54" t="n">
        <v>0</v>
      </c>
      <c r="K54" t="n">
        <v>0</v>
      </c>
      <c r="L54" t="n">
        <v>0</v>
      </c>
      <c r="M54" t="n">
        <v>0</v>
      </c>
      <c r="N54" t="n">
        <v>0</v>
      </c>
      <c r="O54" t="n">
        <v>0</v>
      </c>
      <c r="P54" t="n">
        <v>0</v>
      </c>
      <c r="Q54" t="n">
        <v>0</v>
      </c>
      <c r="R54" s="2" t="inlineStr"/>
    </row>
    <row r="55" ht="15" customHeight="1">
      <c r="A55" t="inlineStr">
        <is>
          <t>A 26876-2022</t>
        </is>
      </c>
      <c r="B55" s="1" t="n">
        <v>44740</v>
      </c>
      <c r="C55" s="1" t="n">
        <v>45731</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13384-2023</t>
        </is>
      </c>
      <c r="B56" s="1" t="n">
        <v>45005</v>
      </c>
      <c r="C56" s="1" t="n">
        <v>45731</v>
      </c>
      <c r="D56" t="inlineStr">
        <is>
          <t>KALMAR LÄN</t>
        </is>
      </c>
      <c r="E56" t="inlineStr">
        <is>
          <t>MÖRBYLÅNGA</t>
        </is>
      </c>
      <c r="G56" t="n">
        <v>0.9</v>
      </c>
      <c r="H56" t="n">
        <v>0</v>
      </c>
      <c r="I56" t="n">
        <v>0</v>
      </c>
      <c r="J56" t="n">
        <v>0</v>
      </c>
      <c r="K56" t="n">
        <v>0</v>
      </c>
      <c r="L56" t="n">
        <v>0</v>
      </c>
      <c r="M56" t="n">
        <v>0</v>
      </c>
      <c r="N56" t="n">
        <v>0</v>
      </c>
      <c r="O56" t="n">
        <v>0</v>
      </c>
      <c r="P56" t="n">
        <v>0</v>
      </c>
      <c r="Q56" t="n">
        <v>0</v>
      </c>
      <c r="R56" s="2" t="inlineStr"/>
    </row>
    <row r="57" ht="15" customHeight="1">
      <c r="A57" t="inlineStr">
        <is>
          <t>A 63676-2023</t>
        </is>
      </c>
      <c r="B57" s="1" t="n">
        <v>45275</v>
      </c>
      <c r="C57" s="1" t="n">
        <v>45731</v>
      </c>
      <c r="D57" t="inlineStr">
        <is>
          <t>KALMAR LÄN</t>
        </is>
      </c>
      <c r="E57" t="inlineStr">
        <is>
          <t>MÖRBYLÅNGA</t>
        </is>
      </c>
      <c r="G57" t="n">
        <v>1</v>
      </c>
      <c r="H57" t="n">
        <v>0</v>
      </c>
      <c r="I57" t="n">
        <v>0</v>
      </c>
      <c r="J57" t="n">
        <v>0</v>
      </c>
      <c r="K57" t="n">
        <v>0</v>
      </c>
      <c r="L57" t="n">
        <v>0</v>
      </c>
      <c r="M57" t="n">
        <v>0</v>
      </c>
      <c r="N57" t="n">
        <v>0</v>
      </c>
      <c r="O57" t="n">
        <v>0</v>
      </c>
      <c r="P57" t="n">
        <v>0</v>
      </c>
      <c r="Q57" t="n">
        <v>0</v>
      </c>
      <c r="R57" s="2" t="inlineStr"/>
    </row>
    <row r="58" ht="15" customHeight="1">
      <c r="A58" t="inlineStr">
        <is>
          <t>A 4152-2024</t>
        </is>
      </c>
      <c r="B58" s="1" t="n">
        <v>45323</v>
      </c>
      <c r="C58" s="1" t="n">
        <v>45731</v>
      </c>
      <c r="D58" t="inlineStr">
        <is>
          <t>KALMAR LÄN</t>
        </is>
      </c>
      <c r="E58" t="inlineStr">
        <is>
          <t>MÖRBYLÅNGA</t>
        </is>
      </c>
      <c r="G58" t="n">
        <v>0.7</v>
      </c>
      <c r="H58" t="n">
        <v>0</v>
      </c>
      <c r="I58" t="n">
        <v>0</v>
      </c>
      <c r="J58" t="n">
        <v>0</v>
      </c>
      <c r="K58" t="n">
        <v>0</v>
      </c>
      <c r="L58" t="n">
        <v>0</v>
      </c>
      <c r="M58" t="n">
        <v>0</v>
      </c>
      <c r="N58" t="n">
        <v>0</v>
      </c>
      <c r="O58" t="n">
        <v>0</v>
      </c>
      <c r="P58" t="n">
        <v>0</v>
      </c>
      <c r="Q58" t="n">
        <v>0</v>
      </c>
      <c r="R58" s="2" t="inlineStr"/>
    </row>
    <row r="59" ht="15" customHeight="1">
      <c r="A59" t="inlineStr">
        <is>
          <t>A 13040-2024</t>
        </is>
      </c>
      <c r="B59" s="1" t="n">
        <v>45385</v>
      </c>
      <c r="C59" s="1" t="n">
        <v>45731</v>
      </c>
      <c r="D59" t="inlineStr">
        <is>
          <t>KALMAR LÄN</t>
        </is>
      </c>
      <c r="E59" t="inlineStr">
        <is>
          <t>MÖRBYLÅNGA</t>
        </is>
      </c>
      <c r="G59" t="n">
        <v>1.2</v>
      </c>
      <c r="H59" t="n">
        <v>0</v>
      </c>
      <c r="I59" t="n">
        <v>0</v>
      </c>
      <c r="J59" t="n">
        <v>0</v>
      </c>
      <c r="K59" t="n">
        <v>0</v>
      </c>
      <c r="L59" t="n">
        <v>0</v>
      </c>
      <c r="M59" t="n">
        <v>0</v>
      </c>
      <c r="N59" t="n">
        <v>0</v>
      </c>
      <c r="O59" t="n">
        <v>0</v>
      </c>
      <c r="P59" t="n">
        <v>0</v>
      </c>
      <c r="Q59" t="n">
        <v>0</v>
      </c>
      <c r="R59" s="2" t="inlineStr"/>
    </row>
    <row r="60">
      <c r="A60" t="inlineStr">
        <is>
          <t>A 15045-2024</t>
        </is>
      </c>
      <c r="B60" s="1" t="n">
        <v>45399</v>
      </c>
      <c r="C60" s="1" t="n">
        <v>45731</v>
      </c>
      <c r="D60" t="inlineStr">
        <is>
          <t>KALMAR LÄN</t>
        </is>
      </c>
      <c r="E60" t="inlineStr">
        <is>
          <t>MÖRBYLÅNGA</t>
        </is>
      </c>
      <c r="G60" t="n">
        <v>2.1</v>
      </c>
      <c r="H60" t="n">
        <v>0</v>
      </c>
      <c r="I60" t="n">
        <v>0</v>
      </c>
      <c r="J60" t="n">
        <v>0</v>
      </c>
      <c r="K60" t="n">
        <v>0</v>
      </c>
      <c r="L60" t="n">
        <v>0</v>
      </c>
      <c r="M60" t="n">
        <v>0</v>
      </c>
      <c r="N60" t="n">
        <v>0</v>
      </c>
      <c r="O60" t="n">
        <v>0</v>
      </c>
      <c r="P60" t="n">
        <v>0</v>
      </c>
      <c r="Q60" t="n">
        <v>0</v>
      </c>
      <c r="R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2025-03-15T17:35:34Z</dcterms:created>
  <dcterms:modified xmlns:dcterms="http://purl.org/dc/terms/" xmlns:xsi="http://www.w3.org/2001/XMLSchema-instance" xsi:type="dcterms:W3CDTF">2025-03-15T17:35:34Z</dcterms:modified>
</cp:coreProperties>
</file>