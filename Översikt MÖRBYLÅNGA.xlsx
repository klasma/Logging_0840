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46094</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46094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46094</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46094</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46094</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38039-2022</t>
        </is>
      </c>
      <c r="B9" s="1" t="n">
        <v>44811</v>
      </c>
      <c r="C9" s="1" t="n">
        <v>46094</v>
      </c>
      <c r="D9" t="inlineStr">
        <is>
          <t>KALMAR LÄN</t>
        </is>
      </c>
      <c r="E9" t="inlineStr">
        <is>
          <t>MÖRBYLÅNGA</t>
        </is>
      </c>
      <c r="G9" t="n">
        <v>7.4</v>
      </c>
      <c r="H9" t="n">
        <v>2</v>
      </c>
      <c r="I9" t="n">
        <v>1</v>
      </c>
      <c r="J9" t="n">
        <v>2</v>
      </c>
      <c r="K9" t="n">
        <v>0</v>
      </c>
      <c r="L9" t="n">
        <v>1</v>
      </c>
      <c r="M9" t="n">
        <v>0</v>
      </c>
      <c r="N9" t="n">
        <v>0</v>
      </c>
      <c r="O9" t="n">
        <v>3</v>
      </c>
      <c r="P9" t="n">
        <v>1</v>
      </c>
      <c r="Q9" t="n">
        <v>6</v>
      </c>
      <c r="R9" s="2" t="inlineStr">
        <is>
          <t>Ask
Backtimjan
Solvända
Murgröna
Alvarmalört
Gullviva</t>
        </is>
      </c>
      <c r="S9">
        <f>HYPERLINK("https://klasma.github.io/Logging_0840/artfynd/A 38039-2022 artfynd.xlsx", "A 38039-2022")</f>
        <v/>
      </c>
      <c r="T9">
        <f>HYPERLINK("https://klasma.github.io/Logging_0840/kartor/A 38039-2022 karta.png", "A 38039-2022")</f>
        <v/>
      </c>
      <c r="V9">
        <f>HYPERLINK("https://klasma.github.io/Logging_0840/klagomål/A 38039-2022 FSC-klagomål.docx", "A 38039-2022")</f>
        <v/>
      </c>
      <c r="W9">
        <f>HYPERLINK("https://klasma.github.io/Logging_0840/klagomålsmail/A 38039-2022 FSC-klagomål mail.docx", "A 38039-2022")</f>
        <v/>
      </c>
      <c r="X9">
        <f>HYPERLINK("https://klasma.github.io/Logging_0840/tillsyn/A 38039-2022 tillsynsbegäran.docx", "A 38039-2022")</f>
        <v/>
      </c>
      <c r="Y9">
        <f>HYPERLINK("https://klasma.github.io/Logging_0840/tillsynsmail/A 38039-2022 tillsynsbegäran mail.docx", "A 38039-2022")</f>
        <v/>
      </c>
    </row>
    <row r="10" ht="15" customHeight="1">
      <c r="A10" t="inlineStr">
        <is>
          <t>A 27636-2023</t>
        </is>
      </c>
      <c r="B10" s="1" t="n">
        <v>45097</v>
      </c>
      <c r="C10" s="1" t="n">
        <v>46094</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24778-2022</t>
        </is>
      </c>
      <c r="B11" s="1" t="n">
        <v>44728</v>
      </c>
      <c r="C11" s="1" t="n">
        <v>46094</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39320-2024</t>
        </is>
      </c>
      <c r="B12" s="1" t="n">
        <v>45551</v>
      </c>
      <c r="C12" s="1" t="n">
        <v>46094</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46094</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54167-2024</t>
        </is>
      </c>
      <c r="B14" s="1" t="n">
        <v>45616.62196759259</v>
      </c>
      <c r="C14" s="1" t="n">
        <v>46094</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46094</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46094</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46094</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46094</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46094</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46094</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46094</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46094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46094</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46094</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46094</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19459-2023</t>
        </is>
      </c>
      <c r="B26" s="1" t="n">
        <v>45049</v>
      </c>
      <c r="C26" s="1" t="n">
        <v>46094</v>
      </c>
      <c r="D26" t="inlineStr">
        <is>
          <t>KALMAR LÄN</t>
        </is>
      </c>
      <c r="E26" t="inlineStr">
        <is>
          <t>MÖRBYLÅNGA</t>
        </is>
      </c>
      <c r="G26" t="n">
        <v>1.6</v>
      </c>
      <c r="H26" t="n">
        <v>0</v>
      </c>
      <c r="I26" t="n">
        <v>0</v>
      </c>
      <c r="J26" t="n">
        <v>0</v>
      </c>
      <c r="K26" t="n">
        <v>1</v>
      </c>
      <c r="L26" t="n">
        <v>0</v>
      </c>
      <c r="M26" t="n">
        <v>0</v>
      </c>
      <c r="N26" t="n">
        <v>0</v>
      </c>
      <c r="O26" t="n">
        <v>1</v>
      </c>
      <c r="P26" t="n">
        <v>1</v>
      </c>
      <c r="Q26" t="n">
        <v>1</v>
      </c>
      <c r="R26" s="2" t="inlineStr">
        <is>
          <t>Luddvicker</t>
        </is>
      </c>
      <c r="S26">
        <f>HYPERLINK("https://klasma.github.io/Logging_0840/artfynd/A 19459-2023 artfynd.xlsx", "A 19459-2023")</f>
        <v/>
      </c>
      <c r="T26">
        <f>HYPERLINK("https://klasma.github.io/Logging_0840/kartor/A 19459-2023 karta.png", "A 19459-2023")</f>
        <v/>
      </c>
      <c r="V26">
        <f>HYPERLINK("https://klasma.github.io/Logging_0840/klagomål/A 19459-2023 FSC-klagomål.docx", "A 19459-2023")</f>
        <v/>
      </c>
      <c r="W26">
        <f>HYPERLINK("https://klasma.github.io/Logging_0840/klagomålsmail/A 19459-2023 FSC-klagomål mail.docx", "A 19459-2023")</f>
        <v/>
      </c>
      <c r="X26">
        <f>HYPERLINK("https://klasma.github.io/Logging_0840/tillsyn/A 19459-2023 tillsynsbegäran.docx", "A 19459-2023")</f>
        <v/>
      </c>
      <c r="Y26">
        <f>HYPERLINK("https://klasma.github.io/Logging_0840/tillsynsmail/A 19459-2023 tillsynsbegäran mail.docx", "A 19459-2023")</f>
        <v/>
      </c>
    </row>
    <row r="27" ht="15" customHeight="1">
      <c r="A27" t="inlineStr">
        <is>
          <t>A 43702-2025</t>
        </is>
      </c>
      <c r="B27" s="1" t="n">
        <v>45912.40270833333</v>
      </c>
      <c r="C27" s="1" t="n">
        <v>46094</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46094</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26876-2022</t>
        </is>
      </c>
      <c r="B29" s="1" t="n">
        <v>44740</v>
      </c>
      <c r="C29" s="1" t="n">
        <v>46094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46094</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46094</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46094</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46094</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46094</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46094</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46094</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2026-03-13T11:18:08Z</dcterms:created>
  <dcterms:modified xmlns:dcterms="http://purl.org/dc/terms/" xmlns:xsi="http://www.w3.org/2001/XMLSchema-instance" xsi:type="dcterms:W3CDTF">2026-03-13T11:18:08Z</dcterms:modified>
</cp:coreProperties>
</file>