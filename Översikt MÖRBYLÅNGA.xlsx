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46324</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46324</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46324</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46324</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46324</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46324</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46324</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46324</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46324</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46324</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46324</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46324</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46324</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24778-2022</t>
        </is>
      </c>
      <c r="B15" t="inlineStr">
        <is>
          <t>avverkningsanmälan</t>
        </is>
      </c>
      <c r="C15" t="inlineStr">
        <is>
          <t>Föryngringsavverkning</t>
        </is>
      </c>
      <c r="D15" s="1" t="n">
        <v>44728</v>
      </c>
      <c r="E15" s="1" t="n">
        <v>46324</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46324</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46324</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46324</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15600-2025</t>
        </is>
      </c>
      <c r="B19" t="inlineStr">
        <is>
          <t>avverkningsanmälan</t>
        </is>
      </c>
      <c r="C19" t="inlineStr">
        <is>
          <t>Avverkning för annat ändamål</t>
        </is>
      </c>
      <c r="D19" s="1" t="n">
        <v>45747</v>
      </c>
      <c r="E19" s="1" t="n">
        <v>46324</v>
      </c>
      <c r="F19" t="inlineStr">
        <is>
          <t>KALMAR LÄN</t>
        </is>
      </c>
      <c r="G19" t="inlineStr">
        <is>
          <t>MÖRBYLÅNGA</t>
        </is>
      </c>
      <c r="I19" t="n">
        <v>1.1</v>
      </c>
      <c r="J19" t="n">
        <v>3</v>
      </c>
      <c r="K19" t="n">
        <v>4</v>
      </c>
      <c r="L19" t="n">
        <v>0</v>
      </c>
      <c r="M19" t="n">
        <v>0</v>
      </c>
      <c r="N19" t="n">
        <v>1</v>
      </c>
      <c r="O19" t="n">
        <v>0</v>
      </c>
      <c r="P19" t="n">
        <v>0</v>
      </c>
      <c r="Q19" t="n">
        <v>1</v>
      </c>
      <c r="R19" t="n">
        <v>1</v>
      </c>
      <c r="S19" t="n">
        <v>10</v>
      </c>
      <c r="T19" t="n">
        <v>20</v>
      </c>
      <c r="U19" t="n">
        <v>18</v>
      </c>
      <c r="V19" s="2" t="inlineStr">
        <is>
          <t>Ask
Kragjordstjärna
Murgröna
Scharlakansvårskål agg.
Tibast
Blåsippa
Skärmstarr
Spillkråka
Storrams
Röd glada</t>
        </is>
      </c>
      <c r="W19">
        <f>HYPERLINK("https://klasma.github.io/Logging_0840/artfynd/A 15600-2025 artfynd.xlsx", "A 15600-2025")</f>
        <v/>
      </c>
      <c r="X19">
        <f>HYPERLINK("https://klasma.github.io/Logging_0840/kartor/A 15600-2025 karta.png", "A 15600-2025")</f>
        <v/>
      </c>
      <c r="Y19">
        <f>HYPERLINK("https://klasma.github.io/Logging_0840/kartor_geotiff/A 15600-2025 georefererad karta.tif", "A 15600-2025")</f>
        <v/>
      </c>
      <c r="AA19">
        <f>HYPERLINK("https://klasma.github.io/Logging_0840/klagomål/A 15600-2025 FSC-klagomål.docx", "A 15600-2025")</f>
        <v/>
      </c>
      <c r="AB19">
        <f>HYPERLINK("https://klasma.github.io/Logging_0840/klagomålsmail/A 15600-2025 FSC-klagomål mail.docx", "A 15600-2025")</f>
        <v/>
      </c>
      <c r="AC19">
        <f>HYPERLINK("https://klasma.github.io/Logging_0840/tillsyn/A 15600-2025 tillsynsbegäran.docx", "A 15600-2025")</f>
        <v/>
      </c>
      <c r="AD19">
        <f>HYPERLINK("https://klasma.github.io/Logging_0840/tillsynsmail/A 15600-2025 tillsynsbegäran mail.docx", "A 15600-2025")</f>
        <v/>
      </c>
      <c r="AE19">
        <f>HYPERLINK("https://klasma.github.io/Logging_0840/fåglar/A 15600-2025 prioriterade fågelarter.docx", "A 15600-2025")</f>
        <v/>
      </c>
    </row>
    <row r="20" ht="15" customHeight="1">
      <c r="A20" t="inlineStr">
        <is>
          <t>A 39320-2024</t>
        </is>
      </c>
      <c r="B20" t="inlineStr">
        <is>
          <t>avverkningsanmälan</t>
        </is>
      </c>
      <c r="C20" t="inlineStr">
        <is>
          <t>Avverkning för annat ändamål</t>
        </is>
      </c>
      <c r="D20" s="1" t="n">
        <v>45551</v>
      </c>
      <c r="E20" s="1" t="n">
        <v>46324</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46324</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46324</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46324</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46324</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46324</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46324</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43704-2025</t>
        </is>
      </c>
      <c r="B27" t="inlineStr">
        <is>
          <t>avverkningsanmälan</t>
        </is>
      </c>
      <c r="C27" t="inlineStr">
        <is>
          <t>Föryngringsavverkning</t>
        </is>
      </c>
      <c r="D27" s="1" t="n">
        <v>45912</v>
      </c>
      <c r="E27" s="1" t="n">
        <v>46324</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A 43714-2025</t>
        </is>
      </c>
      <c r="B28" t="inlineStr">
        <is>
          <t>avverkningsanmälan</t>
        </is>
      </c>
      <c r="C28" t="inlineStr">
        <is>
          <t>Föryngringsavverkning</t>
        </is>
      </c>
      <c r="D28" s="1" t="n">
        <v>45912</v>
      </c>
      <c r="E28" s="1" t="n">
        <v>46324</v>
      </c>
      <c r="F28" t="inlineStr">
        <is>
          <t>KALMAR LÄN</t>
        </is>
      </c>
      <c r="G28" t="inlineStr">
        <is>
          <t>MÖRBYLÅNGA</t>
        </is>
      </c>
      <c r="I28" t="n">
        <v>7.9</v>
      </c>
      <c r="J28" t="n">
        <v>1</v>
      </c>
      <c r="K28" t="n">
        <v>3</v>
      </c>
      <c r="L28" t="n">
        <v>1</v>
      </c>
      <c r="M28" t="n">
        <v>2</v>
      </c>
      <c r="N28" t="n">
        <v>0</v>
      </c>
      <c r="O28" t="n">
        <v>0</v>
      </c>
      <c r="P28" t="n">
        <v>0</v>
      </c>
      <c r="Q28" t="n">
        <v>3</v>
      </c>
      <c r="R28" t="n">
        <v>2</v>
      </c>
      <c r="S28" t="n">
        <v>6</v>
      </c>
      <c r="T28" t="n">
        <v>8</v>
      </c>
      <c r="U28" t="n">
        <v>2</v>
      </c>
      <c r="V28" s="2" t="inlineStr">
        <is>
          <t>Mindre bastardsvärmare
Sexfläckig bastardsvärmare
Grönsångare
Murgröna
Tibast
Trädporella</t>
        </is>
      </c>
      <c r="W28">
        <f>HYPERLINK("https://klasma.github.io/Logging_0840/artfynd/A 43714-2025 artfynd.xlsx", "A 43714-2025")</f>
        <v/>
      </c>
      <c r="X28">
        <f>HYPERLINK("https://klasma.github.io/Logging_0840/kartor/A 43714-2025 karta.png", "A 43714-2025")</f>
        <v/>
      </c>
      <c r="Y28">
        <f>HYPERLINK("https://klasma.github.io/Logging_0840/kartor_geotiff/A 43714-2025 georefererad karta.tif", "A 43714-2025")</f>
        <v/>
      </c>
      <c r="AA28">
        <f>HYPERLINK("https://klasma.github.io/Logging_0840/klagomål/A 43714-2025 FSC-klagomål.docx", "A 43714-2025")</f>
        <v/>
      </c>
      <c r="AB28">
        <f>HYPERLINK("https://klasma.github.io/Logging_0840/klagomålsmail/A 43714-2025 FSC-klagomål mail.docx", "A 43714-2025")</f>
        <v/>
      </c>
      <c r="AC28">
        <f>HYPERLINK("https://klasma.github.io/Logging_0840/tillsyn/A 43714-2025 tillsynsbegäran.docx", "A 43714-2025")</f>
        <v/>
      </c>
      <c r="AD28">
        <f>HYPERLINK("https://klasma.github.io/Logging_0840/tillsynsmail/A 43714-2025 tillsynsbegäran mail.docx", "A 43714-2025")</f>
        <v/>
      </c>
      <c r="AE28">
        <f>HYPERLINK("https://klasma.github.io/Logging_0840/fåglar/A 43714-2025 prioriterade fågelarter.docx", "A 43714-2025")</f>
        <v/>
      </c>
    </row>
    <row r="29" ht="15" customHeight="1">
      <c r="A29" t="inlineStr">
        <is>
          <t>S 1814-2026</t>
        </is>
      </c>
      <c r="B29" t="inlineStr">
        <is>
          <t>samrådsanmälan</t>
        </is>
      </c>
      <c r="C29" t="inlineStr">
        <is>
          <t>Annan skogsbruksåtgärd</t>
        </is>
      </c>
      <c r="D29" s="1" t="n">
        <v>46190</v>
      </c>
      <c r="E29" s="1" t="n">
        <v>46324</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46324</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46324</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46324</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46324</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46324</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46324</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46324</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46324</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46324</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46324</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46324</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46324</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24698-2023</t>
        </is>
      </c>
      <c r="B42" t="inlineStr">
        <is>
          <t>avverkningsanmälan</t>
        </is>
      </c>
      <c r="C42" t="inlineStr">
        <is>
          <t>Föryngringsavverkning</t>
        </is>
      </c>
      <c r="D42" s="1" t="n">
        <v>45084</v>
      </c>
      <c r="E42" s="1" t="n">
        <v>46324</v>
      </c>
      <c r="F42" t="inlineStr">
        <is>
          <t>KALMAR LÄN</t>
        </is>
      </c>
      <c r="G42" t="inlineStr">
        <is>
          <t>MÖRBYLÅNGA</t>
        </is>
      </c>
      <c r="I42" t="n">
        <v>5.5</v>
      </c>
      <c r="J42" t="n">
        <v>0</v>
      </c>
      <c r="K42" t="n">
        <v>0</v>
      </c>
      <c r="L42" t="n">
        <v>1</v>
      </c>
      <c r="M42" t="n">
        <v>0</v>
      </c>
      <c r="N42" t="n">
        <v>0</v>
      </c>
      <c r="O42" t="n">
        <v>0</v>
      </c>
      <c r="P42" t="n">
        <v>0</v>
      </c>
      <c r="Q42" t="n">
        <v>1</v>
      </c>
      <c r="R42" t="n">
        <v>0</v>
      </c>
      <c r="S42" t="n">
        <v>1</v>
      </c>
      <c r="T42" t="n">
        <v>1</v>
      </c>
      <c r="U42" t="n">
        <v>1</v>
      </c>
      <c r="V42" s="2" t="inlineStr">
        <is>
          <t>Sårläka</t>
        </is>
      </c>
      <c r="W42">
        <f>HYPERLINK("https://klasma.github.io/Logging_0840/artfynd/A 24698-2023 artfynd.xlsx", "A 24698-2023")</f>
        <v/>
      </c>
      <c r="X42">
        <f>HYPERLINK("https://klasma.github.io/Logging_0840/kartor/A 24698-2023 karta.png", "A 24698-2023")</f>
        <v/>
      </c>
      <c r="Y42">
        <f>HYPERLINK("https://klasma.github.io/Logging_0840/kartor_geotiff/A 24698-2023 georefererad karta.tif", "A 24698-2023")</f>
        <v/>
      </c>
      <c r="AA42">
        <f>HYPERLINK("https://klasma.github.io/Logging_0840/klagomål/A 24698-2023 FSC-klagomål.docx", "A 24698-2023")</f>
        <v/>
      </c>
      <c r="AB42">
        <f>HYPERLINK("https://klasma.github.io/Logging_0840/klagomålsmail/A 24698-2023 FSC-klagomål mail.docx", "A 24698-2023")</f>
        <v/>
      </c>
      <c r="AC42">
        <f>HYPERLINK("https://klasma.github.io/Logging_0840/tillsyn/A 24698-2023 tillsynsbegäran.docx", "A 24698-2023")</f>
        <v/>
      </c>
      <c r="AD42">
        <f>HYPERLINK("https://klasma.github.io/Logging_0840/tillsynsmail/A 24698-2023 tillsynsbegäran mail.docx", "A 24698-2023")</f>
        <v/>
      </c>
    </row>
    <row r="43" ht="15" customHeight="1">
      <c r="A43" t="inlineStr">
        <is>
          <t>A 13384-2023</t>
        </is>
      </c>
      <c r="B43" t="inlineStr">
        <is>
          <t>avverkningsanmälan</t>
        </is>
      </c>
      <c r="C43" t="inlineStr">
        <is>
          <t>Föryngringsavverkning</t>
        </is>
      </c>
      <c r="D43" s="1" t="n">
        <v>45005</v>
      </c>
      <c r="E43" s="1" t="n">
        <v>46324</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62183-2025</t>
        </is>
      </c>
      <c r="B44" t="inlineStr">
        <is>
          <t>avverkningsanmälan</t>
        </is>
      </c>
      <c r="C44" t="inlineStr">
        <is>
          <t>Föryngringsavverkning</t>
        </is>
      </c>
      <c r="D44" s="1" t="n">
        <v>46006</v>
      </c>
      <c r="E44" s="1" t="n">
        <v>46324</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30492-2026</t>
        </is>
      </c>
      <c r="B45" t="inlineStr">
        <is>
          <t>avverkningsanmälan</t>
        </is>
      </c>
      <c r="C45" t="inlineStr">
        <is>
          <t>Avverkning för annat ändamål</t>
        </is>
      </c>
      <c r="D45" s="1" t="n">
        <v>46210</v>
      </c>
      <c r="E45" s="1" t="n">
        <v>46324</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46324</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46324</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46324</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43693-2026</t>
        </is>
      </c>
      <c r="B49" t="inlineStr">
        <is>
          <t>avverkningsanmälan</t>
        </is>
      </c>
      <c r="C49" t="inlineStr">
        <is>
          <t>Föryngringsavverkning</t>
        </is>
      </c>
      <c r="D49" s="1" t="n">
        <v>46316</v>
      </c>
      <c r="E49" s="1" t="n">
        <v>46324</v>
      </c>
      <c r="F49" t="inlineStr">
        <is>
          <t>KALMAR LÄN</t>
        </is>
      </c>
      <c r="G49" t="inlineStr">
        <is>
          <t>MÖRBYLÅNGA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43698-2026</t>
        </is>
      </c>
      <c r="B50" t="inlineStr">
        <is>
          <t>avverkningsanmälan</t>
        </is>
      </c>
      <c r="C50" t="inlineStr">
        <is>
          <t>Föryngringsavverkning</t>
        </is>
      </c>
      <c r="D50" s="1" t="n">
        <v>46316</v>
      </c>
      <c r="E50" s="1" t="n">
        <v>46324</v>
      </c>
      <c r="F50" t="inlineStr">
        <is>
          <t>KALMAR LÄN</t>
        </is>
      </c>
      <c r="G50" t="inlineStr">
        <is>
          <t>MÖRBYLÅNGA</t>
        </is>
      </c>
      <c r="I50" t="n">
        <v>0.7</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46324</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2026-10-29T03:15:20Z</dcterms:created>
  <dcterms:modified xmlns:dcterms="http://purl.org/dc/terms/" xmlns:xsi="http://www.w3.org/2001/XMLSchema-instance" xsi:type="dcterms:W3CDTF">2026-10-29T03:15:20Z</dcterms:modified>
</cp:coreProperties>
</file>