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46059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46059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46059</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46059</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46059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46059</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46059</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46059</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46059</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46059</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27636-2023</t>
        </is>
      </c>
      <c r="B12" s="1" t="n">
        <v>45097</v>
      </c>
      <c r="C12" s="1" t="n">
        <v>46059</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46059</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43714-2025</t>
        </is>
      </c>
      <c r="B14" s="1" t="n">
        <v>45912.40814814815</v>
      </c>
      <c r="C14" s="1" t="n">
        <v>46059</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46059</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60875-2025</t>
        </is>
      </c>
      <c r="B16" s="1" t="n">
        <v>45999.55524305555</v>
      </c>
      <c r="C16" s="1" t="n">
        <v>46059</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46059</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46059</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2864-2026</t>
        </is>
      </c>
      <c r="B19" s="1" t="n">
        <v>46038</v>
      </c>
      <c r="C19" s="1" t="n">
        <v>46059</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61963-2025</t>
        </is>
      </c>
      <c r="B20" s="1" t="n">
        <v>46003</v>
      </c>
      <c r="C20" s="1" t="n">
        <v>46059</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35242-2024</t>
        </is>
      </c>
      <c r="B21" s="1" t="n">
        <v>45530.55440972222</v>
      </c>
      <c r="C21" s="1" t="n">
        <v>46059</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15600-2025</t>
        </is>
      </c>
      <c r="B22" s="1" t="n">
        <v>45747</v>
      </c>
      <c r="C22" s="1" t="n">
        <v>46059</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62231-2023</t>
        </is>
      </c>
      <c r="B23" s="1" t="n">
        <v>45267</v>
      </c>
      <c r="C23" s="1" t="n">
        <v>46059</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40361-2023</t>
        </is>
      </c>
      <c r="B24" s="1" t="n">
        <v>45169</v>
      </c>
      <c r="C24" s="1" t="n">
        <v>46059</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54192-2021</t>
        </is>
      </c>
      <c r="B25" s="1" t="n">
        <v>44470</v>
      </c>
      <c r="C25" s="1" t="n">
        <v>46059</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46059</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43702-2025</t>
        </is>
      </c>
      <c r="B27" s="1" t="n">
        <v>45912.40270833333</v>
      </c>
      <c r="C27" s="1" t="n">
        <v>46059</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46059</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46059</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24698-2023</t>
        </is>
      </c>
      <c r="B30" s="1" t="n">
        <v>45084</v>
      </c>
      <c r="C30" s="1" t="n">
        <v>46059</v>
      </c>
      <c r="D30" t="inlineStr">
        <is>
          <t>KALMAR LÄN</t>
        </is>
      </c>
      <c r="E30" t="inlineStr">
        <is>
          <t>MÖRBYLÅNGA</t>
        </is>
      </c>
      <c r="G30" t="n">
        <v>5.5</v>
      </c>
      <c r="H30" t="n">
        <v>0</v>
      </c>
      <c r="I30" t="n">
        <v>1</v>
      </c>
      <c r="J30" t="n">
        <v>0</v>
      </c>
      <c r="K30" t="n">
        <v>0</v>
      </c>
      <c r="L30" t="n">
        <v>0</v>
      </c>
      <c r="M30" t="n">
        <v>0</v>
      </c>
      <c r="N30" t="n">
        <v>0</v>
      </c>
      <c r="O30" t="n">
        <v>0</v>
      </c>
      <c r="P30" t="n">
        <v>0</v>
      </c>
      <c r="Q30" t="n">
        <v>1</v>
      </c>
      <c r="R30" s="2" t="inlineStr">
        <is>
          <t>Sårläka</t>
        </is>
      </c>
      <c r="S30">
        <f>HYPERLINK("https://klasma.github.io/Logging_0840/artfynd/A 24698-2023 artfynd.xlsx", "A 24698-2023")</f>
        <v/>
      </c>
      <c r="T30">
        <f>HYPERLINK("https://klasma.github.io/Logging_0840/kartor/A 24698-2023 karta.png", "A 24698-2023")</f>
        <v/>
      </c>
      <c r="V30">
        <f>HYPERLINK("https://klasma.github.io/Logging_0840/klagomål/A 24698-2023 FSC-klagomål.docx", "A 24698-2023")</f>
        <v/>
      </c>
      <c r="W30">
        <f>HYPERLINK("https://klasma.github.io/Logging_0840/klagomålsmail/A 24698-2023 FSC-klagomål mail.docx", "A 24698-2023")</f>
        <v/>
      </c>
      <c r="X30">
        <f>HYPERLINK("https://klasma.github.io/Logging_0840/tillsyn/A 24698-2023 tillsynsbegäran.docx", "A 24698-2023")</f>
        <v/>
      </c>
      <c r="Y30">
        <f>HYPERLINK("https://klasma.github.io/Logging_0840/tillsynsmail/A 24698-2023 tillsynsbegäran mail.docx", "A 24698-2023")</f>
        <v/>
      </c>
    </row>
    <row r="31" ht="15" customHeight="1">
      <c r="A31" t="inlineStr">
        <is>
          <t>A 26876-2022</t>
        </is>
      </c>
      <c r="B31" s="1" t="n">
        <v>44740</v>
      </c>
      <c r="C31" s="1" t="n">
        <v>46059</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46059</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46059</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72167-2021</t>
        </is>
      </c>
      <c r="B34" s="1" t="n">
        <v>44544</v>
      </c>
      <c r="C34" s="1" t="n">
        <v>46059</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row r="35" ht="15" customHeight="1">
      <c r="A35" t="inlineStr">
        <is>
          <t>A 57407-2025</t>
        </is>
      </c>
      <c r="B35" s="1" t="n">
        <v>45980.44351851852</v>
      </c>
      <c r="C35" s="1" t="n">
        <v>46059</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ht="15" customHeight="1">
      <c r="A36" t="inlineStr">
        <is>
          <t>A 13384-2023</t>
        </is>
      </c>
      <c r="B36" s="1" t="n">
        <v>45005</v>
      </c>
      <c r="C36" s="1" t="n">
        <v>46059</v>
      </c>
      <c r="D36" t="inlineStr">
        <is>
          <t>KALMAR LÄN</t>
        </is>
      </c>
      <c r="E36" t="inlineStr">
        <is>
          <t>MÖRBYLÅNGA</t>
        </is>
      </c>
      <c r="G36" t="n">
        <v>0.9</v>
      </c>
      <c r="H36" t="n">
        <v>0</v>
      </c>
      <c r="I36" t="n">
        <v>0</v>
      </c>
      <c r="J36" t="n">
        <v>0</v>
      </c>
      <c r="K36" t="n">
        <v>0</v>
      </c>
      <c r="L36" t="n">
        <v>0</v>
      </c>
      <c r="M36" t="n">
        <v>0</v>
      </c>
      <c r="N36" t="n">
        <v>0</v>
      </c>
      <c r="O36" t="n">
        <v>0</v>
      </c>
      <c r="P36" t="n">
        <v>0</v>
      </c>
      <c r="Q36" t="n">
        <v>0</v>
      </c>
      <c r="R36" s="2" t="inlineStr"/>
    </row>
    <row r="37" ht="15" customHeight="1">
      <c r="A37" t="inlineStr">
        <is>
          <t>A 62183-2025</t>
        </is>
      </c>
      <c r="B37" s="1" t="n">
        <v>46006.5356712963</v>
      </c>
      <c r="C37" s="1" t="n">
        <v>46059</v>
      </c>
      <c r="D37" t="inlineStr">
        <is>
          <t>KALMAR LÄN</t>
        </is>
      </c>
      <c r="E37" t="inlineStr">
        <is>
          <t>MÖRBYLÅNGA</t>
        </is>
      </c>
      <c r="G37" t="n">
        <v>0.8</v>
      </c>
      <c r="H37" t="n">
        <v>0</v>
      </c>
      <c r="I37" t="n">
        <v>0</v>
      </c>
      <c r="J37" t="n">
        <v>0</v>
      </c>
      <c r="K37" t="n">
        <v>0</v>
      </c>
      <c r="L37" t="n">
        <v>0</v>
      </c>
      <c r="M37" t="n">
        <v>0</v>
      </c>
      <c r="N37" t="n">
        <v>0</v>
      </c>
      <c r="O37" t="n">
        <v>0</v>
      </c>
      <c r="P37" t="n">
        <v>0</v>
      </c>
      <c r="Q37" t="n">
        <v>0</v>
      </c>
      <c r="R37" s="2" t="inlineStr"/>
    </row>
    <row r="38">
      <c r="A38" t="inlineStr">
        <is>
          <t>A 5733-2026</t>
        </is>
      </c>
      <c r="B38" s="1" t="n">
        <v>46051.5745949074</v>
      </c>
      <c r="C38" s="1" t="n">
        <v>46059</v>
      </c>
      <c r="D38" t="inlineStr">
        <is>
          <t>KALMAR LÄN</t>
        </is>
      </c>
      <c r="E38" t="inlineStr">
        <is>
          <t>MÖRBYLÅNGA</t>
        </is>
      </c>
      <c r="G38" t="n">
        <v>1.1</v>
      </c>
      <c r="H38" t="n">
        <v>0</v>
      </c>
      <c r="I38" t="n">
        <v>0</v>
      </c>
      <c r="J38" t="n">
        <v>0</v>
      </c>
      <c r="K38" t="n">
        <v>0</v>
      </c>
      <c r="L38" t="n">
        <v>0</v>
      </c>
      <c r="M38" t="n">
        <v>0</v>
      </c>
      <c r="N38" t="n">
        <v>0</v>
      </c>
      <c r="O38" t="n">
        <v>0</v>
      </c>
      <c r="P38" t="n">
        <v>0</v>
      </c>
      <c r="Q38" t="n">
        <v>0</v>
      </c>
      <c r="R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2026-02-06T11:07:05Z</dcterms:created>
  <dcterms:modified xmlns:dcterms="http://purl.org/dc/terms/" xmlns:xsi="http://www.w3.org/2001/XMLSchema-instance" xsi:type="dcterms:W3CDTF">2026-02-06T11:07:05Z</dcterms:modified>
</cp:coreProperties>
</file>