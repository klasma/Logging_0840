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45335</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65163-2020</t>
        </is>
      </c>
      <c r="B3" s="1" t="n">
        <v>44172</v>
      </c>
      <c r="C3" s="1" t="n">
        <v>45335</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c r="Z3">
        <f>HYPERLINK("https://klasma.github.io/Logging_0840/fåglar/A 65163-2020 prioriterade fågelarter.docx", "A 65163-2020")</f>
        <v/>
      </c>
    </row>
    <row r="4" ht="15" customHeight="1">
      <c r="A4" t="inlineStr">
        <is>
          <t>A 66041-2018</t>
        </is>
      </c>
      <c r="B4" s="1" t="n">
        <v>43434</v>
      </c>
      <c r="C4" s="1" t="n">
        <v>45335</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45335</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45335</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8436-2021</t>
        </is>
      </c>
      <c r="B7" s="1" t="n">
        <v>44245</v>
      </c>
      <c r="C7" s="1" t="n">
        <v>45335</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6097-2019</t>
        </is>
      </c>
      <c r="B8" s="1" t="n">
        <v>43493</v>
      </c>
      <c r="C8" s="1" t="n">
        <v>45335</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45335</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45335</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45335</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45335</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45335</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45335</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61854-2020</t>
        </is>
      </c>
      <c r="B15" s="1" t="n">
        <v>44155</v>
      </c>
      <c r="C15" s="1" t="n">
        <v>45335</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45335</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45335</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45335</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45335</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45335</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45335</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45335</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45335</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46845-2018</t>
        </is>
      </c>
      <c r="B24" s="1" t="n">
        <v>43367</v>
      </c>
      <c r="C24" s="1" t="n">
        <v>45335</v>
      </c>
      <c r="D24" t="inlineStr">
        <is>
          <t>KALMAR LÄN</t>
        </is>
      </c>
      <c r="E24" t="inlineStr">
        <is>
          <t>MÖRBYLÅNGA</t>
        </is>
      </c>
      <c r="F24" t="inlineStr">
        <is>
          <t>Kyrkan</t>
        </is>
      </c>
      <c r="G24" t="n">
        <v>2.2</v>
      </c>
      <c r="H24" t="n">
        <v>0</v>
      </c>
      <c r="I24" t="n">
        <v>0</v>
      </c>
      <c r="J24" t="n">
        <v>0</v>
      </c>
      <c r="K24" t="n">
        <v>0</v>
      </c>
      <c r="L24" t="n">
        <v>0</v>
      </c>
      <c r="M24" t="n">
        <v>1</v>
      </c>
      <c r="N24" t="n">
        <v>0</v>
      </c>
      <c r="O24" t="n">
        <v>1</v>
      </c>
      <c r="P24" t="n">
        <v>1</v>
      </c>
      <c r="Q24" t="n">
        <v>1</v>
      </c>
      <c r="R24" s="2" t="inlineStr">
        <is>
          <t>Skogsalm</t>
        </is>
      </c>
      <c r="S24">
        <f>HYPERLINK("https://klasma.github.io/Logging_0840/artfynd/A 46845-2018 artfynd.xlsx", "A 46845-2018")</f>
        <v/>
      </c>
      <c r="T24">
        <f>HYPERLINK("https://klasma.github.io/Logging_0840/kartor/A 46845-2018 karta.png", "A 46845-2018")</f>
        <v/>
      </c>
      <c r="V24">
        <f>HYPERLINK("https://klasma.github.io/Logging_0840/klagomål/A 46845-2018 FSC-klagomål.docx", "A 46845-2018")</f>
        <v/>
      </c>
      <c r="W24">
        <f>HYPERLINK("https://klasma.github.io/Logging_0840/klagomålsmail/A 46845-2018 FSC-klagomål mail.docx", "A 46845-2018")</f>
        <v/>
      </c>
      <c r="X24">
        <f>HYPERLINK("https://klasma.github.io/Logging_0840/tillsyn/A 46845-2018 tillsynsbegäran.docx", "A 46845-2018")</f>
        <v/>
      </c>
      <c r="Y24">
        <f>HYPERLINK("https://klasma.github.io/Logging_0840/tillsynsmail/A 46845-2018 tillsynsbegäran mail.docx", "A 46845-2018")</f>
        <v/>
      </c>
    </row>
    <row r="25" ht="15" customHeight="1">
      <c r="A25" t="inlineStr">
        <is>
          <t>A 69586-2018</t>
        </is>
      </c>
      <c r="B25" s="1" t="n">
        <v>43446</v>
      </c>
      <c r="C25" s="1" t="n">
        <v>45335</v>
      </c>
      <c r="D25" t="inlineStr">
        <is>
          <t>KALMAR LÄN</t>
        </is>
      </c>
      <c r="E25" t="inlineStr">
        <is>
          <t>MÖRBYLÅNGA</t>
        </is>
      </c>
      <c r="G25" t="n">
        <v>2.5</v>
      </c>
      <c r="H25" t="n">
        <v>0</v>
      </c>
      <c r="I25" t="n">
        <v>0</v>
      </c>
      <c r="J25" t="n">
        <v>0</v>
      </c>
      <c r="K25" t="n">
        <v>1</v>
      </c>
      <c r="L25" t="n">
        <v>0</v>
      </c>
      <c r="M25" t="n">
        <v>0</v>
      </c>
      <c r="N25" t="n">
        <v>0</v>
      </c>
      <c r="O25" t="n">
        <v>1</v>
      </c>
      <c r="P25" t="n">
        <v>1</v>
      </c>
      <c r="Q25" t="n">
        <v>1</v>
      </c>
      <c r="R25" s="2" t="inlineStr">
        <is>
          <t>Backsilja</t>
        </is>
      </c>
      <c r="S25">
        <f>HYPERLINK("https://klasma.github.io/Logging_0840/artfynd/A 69586-2018 artfynd.xlsx", "A 69586-2018")</f>
        <v/>
      </c>
      <c r="T25">
        <f>HYPERLINK("https://klasma.github.io/Logging_0840/kartor/A 69586-2018 karta.png", "A 69586-2018")</f>
        <v/>
      </c>
      <c r="V25">
        <f>HYPERLINK("https://klasma.github.io/Logging_0840/klagomål/A 69586-2018 FSC-klagomål.docx", "A 69586-2018")</f>
        <v/>
      </c>
      <c r="W25">
        <f>HYPERLINK("https://klasma.github.io/Logging_0840/klagomålsmail/A 69586-2018 FSC-klagomål mail.docx", "A 69586-2018")</f>
        <v/>
      </c>
      <c r="X25">
        <f>HYPERLINK("https://klasma.github.io/Logging_0840/tillsyn/A 69586-2018 tillsynsbegäran.docx", "A 69586-2018")</f>
        <v/>
      </c>
      <c r="Y25">
        <f>HYPERLINK("https://klasma.github.io/Logging_0840/tillsynsmail/A 69586-2018 tillsynsbegäran mail.docx", "A 69586-2018")</f>
        <v/>
      </c>
    </row>
    <row r="26" ht="15" customHeight="1">
      <c r="A26" t="inlineStr">
        <is>
          <t>A 6089-2019</t>
        </is>
      </c>
      <c r="B26" s="1" t="n">
        <v>43493</v>
      </c>
      <c r="C26" s="1" t="n">
        <v>45335</v>
      </c>
      <c r="D26" t="inlineStr">
        <is>
          <t>KALMAR LÄN</t>
        </is>
      </c>
      <c r="E26" t="inlineStr">
        <is>
          <t>MÖRBYLÅNGA</t>
        </is>
      </c>
      <c r="G26" t="n">
        <v>0.8</v>
      </c>
      <c r="H26" t="n">
        <v>1</v>
      </c>
      <c r="I26" t="n">
        <v>0</v>
      </c>
      <c r="J26" t="n">
        <v>0</v>
      </c>
      <c r="K26" t="n">
        <v>0</v>
      </c>
      <c r="L26" t="n">
        <v>0</v>
      </c>
      <c r="M26" t="n">
        <v>0</v>
      </c>
      <c r="N26" t="n">
        <v>0</v>
      </c>
      <c r="O26" t="n">
        <v>0</v>
      </c>
      <c r="P26" t="n">
        <v>0</v>
      </c>
      <c r="Q26" t="n">
        <v>1</v>
      </c>
      <c r="R26" s="2" t="inlineStr">
        <is>
          <t>Johannesnycklar</t>
        </is>
      </c>
      <c r="S26">
        <f>HYPERLINK("https://klasma.github.io/Logging_0840/artfynd/A 6089-2019 artfynd.xlsx", "A 6089-2019")</f>
        <v/>
      </c>
      <c r="T26">
        <f>HYPERLINK("https://klasma.github.io/Logging_0840/kartor/A 6089-2019 karta.png", "A 6089-2019")</f>
        <v/>
      </c>
      <c r="V26">
        <f>HYPERLINK("https://klasma.github.io/Logging_0840/klagomål/A 6089-2019 FSC-klagomål.docx", "A 6089-2019")</f>
        <v/>
      </c>
      <c r="W26">
        <f>HYPERLINK("https://klasma.github.io/Logging_0840/klagomålsmail/A 6089-2019 FSC-klagomål mail.docx", "A 6089-2019")</f>
        <v/>
      </c>
      <c r="X26">
        <f>HYPERLINK("https://klasma.github.io/Logging_0840/tillsyn/A 6089-2019 tillsynsbegäran.docx", "A 6089-2019")</f>
        <v/>
      </c>
      <c r="Y26">
        <f>HYPERLINK("https://klasma.github.io/Logging_0840/tillsynsmail/A 6089-2019 tillsynsbegäran mail.docx", "A 6089-2019")</f>
        <v/>
      </c>
    </row>
    <row r="27" ht="15" customHeight="1">
      <c r="A27" t="inlineStr">
        <is>
          <t>A 9969-2019</t>
        </is>
      </c>
      <c r="B27" s="1" t="n">
        <v>43509</v>
      </c>
      <c r="C27" s="1" t="n">
        <v>45335</v>
      </c>
      <c r="D27" t="inlineStr">
        <is>
          <t>KALMAR LÄN</t>
        </is>
      </c>
      <c r="E27" t="inlineStr">
        <is>
          <t>MÖRBYLÅNGA</t>
        </is>
      </c>
      <c r="G27" t="n">
        <v>1.5</v>
      </c>
      <c r="H27" t="n">
        <v>0</v>
      </c>
      <c r="I27" t="n">
        <v>0</v>
      </c>
      <c r="J27" t="n">
        <v>0</v>
      </c>
      <c r="K27" t="n">
        <v>1</v>
      </c>
      <c r="L27" t="n">
        <v>0</v>
      </c>
      <c r="M27" t="n">
        <v>0</v>
      </c>
      <c r="N27" t="n">
        <v>0</v>
      </c>
      <c r="O27" t="n">
        <v>1</v>
      </c>
      <c r="P27" t="n">
        <v>1</v>
      </c>
      <c r="Q27" t="n">
        <v>1</v>
      </c>
      <c r="R27" s="2" t="inlineStr">
        <is>
          <t>Sammetsmusseron</t>
        </is>
      </c>
      <c r="S27">
        <f>HYPERLINK("https://klasma.github.io/Logging_0840/artfynd/A 9969-2019 artfynd.xlsx", "A 9969-2019")</f>
        <v/>
      </c>
      <c r="T27">
        <f>HYPERLINK("https://klasma.github.io/Logging_0840/kartor/A 9969-2019 karta.png", "A 9969-2019")</f>
        <v/>
      </c>
      <c r="V27">
        <f>HYPERLINK("https://klasma.github.io/Logging_0840/klagomål/A 9969-2019 FSC-klagomål.docx", "A 9969-2019")</f>
        <v/>
      </c>
      <c r="W27">
        <f>HYPERLINK("https://klasma.github.io/Logging_0840/klagomålsmail/A 9969-2019 FSC-klagomål mail.docx", "A 9969-2019")</f>
        <v/>
      </c>
      <c r="X27">
        <f>HYPERLINK("https://klasma.github.io/Logging_0840/tillsyn/A 9969-2019 tillsynsbegäran.docx", "A 9969-2019")</f>
        <v/>
      </c>
      <c r="Y27">
        <f>HYPERLINK("https://klasma.github.io/Logging_0840/tillsynsmail/A 9969-2019 tillsynsbegäran mail.docx", "A 9969-2019")</f>
        <v/>
      </c>
    </row>
    <row r="28" ht="15" customHeight="1">
      <c r="A28" t="inlineStr">
        <is>
          <t>A 39367-2019</t>
        </is>
      </c>
      <c r="B28" s="1" t="n">
        <v>43690</v>
      </c>
      <c r="C28" s="1" t="n">
        <v>45335</v>
      </c>
      <c r="D28" t="inlineStr">
        <is>
          <t>KALMAR LÄN</t>
        </is>
      </c>
      <c r="E28" t="inlineStr">
        <is>
          <t>MÖRBYLÅNGA</t>
        </is>
      </c>
      <c r="G28" t="n">
        <v>1</v>
      </c>
      <c r="H28" t="n">
        <v>1</v>
      </c>
      <c r="I28" t="n">
        <v>0</v>
      </c>
      <c r="J28" t="n">
        <v>0</v>
      </c>
      <c r="K28" t="n">
        <v>0</v>
      </c>
      <c r="L28" t="n">
        <v>0</v>
      </c>
      <c r="M28" t="n">
        <v>0</v>
      </c>
      <c r="N28" t="n">
        <v>0</v>
      </c>
      <c r="O28" t="n">
        <v>0</v>
      </c>
      <c r="P28" t="n">
        <v>0</v>
      </c>
      <c r="Q28" t="n">
        <v>1</v>
      </c>
      <c r="R28" s="2" t="inlineStr">
        <is>
          <t>Blåsippa</t>
        </is>
      </c>
      <c r="S28">
        <f>HYPERLINK("https://klasma.github.io/Logging_0840/artfynd/A 39367-2019 artfynd.xlsx", "A 39367-2019")</f>
        <v/>
      </c>
      <c r="T28">
        <f>HYPERLINK("https://klasma.github.io/Logging_0840/kartor/A 39367-2019 karta.png", "A 39367-2019")</f>
        <v/>
      </c>
      <c r="V28">
        <f>HYPERLINK("https://klasma.github.io/Logging_0840/klagomål/A 39367-2019 FSC-klagomål.docx", "A 39367-2019")</f>
        <v/>
      </c>
      <c r="W28">
        <f>HYPERLINK("https://klasma.github.io/Logging_0840/klagomålsmail/A 39367-2019 FSC-klagomål mail.docx", "A 39367-2019")</f>
        <v/>
      </c>
      <c r="X28">
        <f>HYPERLINK("https://klasma.github.io/Logging_0840/tillsyn/A 39367-2019 tillsynsbegäran.docx", "A 39367-2019")</f>
        <v/>
      </c>
      <c r="Y28">
        <f>HYPERLINK("https://klasma.github.io/Logging_0840/tillsynsmail/A 39367-2019 tillsynsbegäran mail.docx", "A 39367-2019")</f>
        <v/>
      </c>
    </row>
    <row r="29" ht="15" customHeight="1">
      <c r="A29" t="inlineStr">
        <is>
          <t>A 48001-2019</t>
        </is>
      </c>
      <c r="B29" s="1" t="n">
        <v>43725</v>
      </c>
      <c r="C29" s="1" t="n">
        <v>45335</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Murgröna</t>
        </is>
      </c>
      <c r="S29">
        <f>HYPERLINK("https://klasma.github.io/Logging_0840/artfynd/A 48001-2019 artfynd.xlsx", "A 48001-2019")</f>
        <v/>
      </c>
      <c r="T29">
        <f>HYPERLINK("https://klasma.github.io/Logging_0840/kartor/A 48001-2019 karta.png", "A 48001-2019")</f>
        <v/>
      </c>
      <c r="V29">
        <f>HYPERLINK("https://klasma.github.io/Logging_0840/klagomål/A 48001-2019 FSC-klagomål.docx", "A 48001-2019")</f>
        <v/>
      </c>
      <c r="W29">
        <f>HYPERLINK("https://klasma.github.io/Logging_0840/klagomålsmail/A 48001-2019 FSC-klagomål mail.docx", "A 48001-2019")</f>
        <v/>
      </c>
      <c r="X29">
        <f>HYPERLINK("https://klasma.github.io/Logging_0840/tillsyn/A 48001-2019 tillsynsbegäran.docx", "A 48001-2019")</f>
        <v/>
      </c>
      <c r="Y29">
        <f>HYPERLINK("https://klasma.github.io/Logging_0840/tillsynsmail/A 48001-2019 tillsynsbegäran mail.docx", "A 48001-2019")</f>
        <v/>
      </c>
    </row>
    <row r="30" ht="15" customHeight="1">
      <c r="A30" t="inlineStr">
        <is>
          <t>A 22170-2020</t>
        </is>
      </c>
      <c r="B30" s="1" t="n">
        <v>43956</v>
      </c>
      <c r="C30" s="1" t="n">
        <v>45335</v>
      </c>
      <c r="D30" t="inlineStr">
        <is>
          <t>KALMAR LÄN</t>
        </is>
      </c>
      <c r="E30" t="inlineStr">
        <is>
          <t>MÖRBYLÅNGA</t>
        </is>
      </c>
      <c r="G30" t="n">
        <v>1.4</v>
      </c>
      <c r="H30" t="n">
        <v>0</v>
      </c>
      <c r="I30" t="n">
        <v>1</v>
      </c>
      <c r="J30" t="n">
        <v>0</v>
      </c>
      <c r="K30" t="n">
        <v>0</v>
      </c>
      <c r="L30" t="n">
        <v>0</v>
      </c>
      <c r="M30" t="n">
        <v>0</v>
      </c>
      <c r="N30" t="n">
        <v>0</v>
      </c>
      <c r="O30" t="n">
        <v>0</v>
      </c>
      <c r="P30" t="n">
        <v>0</v>
      </c>
      <c r="Q30" t="n">
        <v>1</v>
      </c>
      <c r="R30" s="2" t="inlineStr">
        <is>
          <t>Hässleklocka</t>
        </is>
      </c>
      <c r="S30">
        <f>HYPERLINK("https://klasma.github.io/Logging_0840/artfynd/A 22170-2020 artfynd.xlsx", "A 22170-2020")</f>
        <v/>
      </c>
      <c r="T30">
        <f>HYPERLINK("https://klasma.github.io/Logging_0840/kartor/A 22170-2020 karta.png", "A 22170-2020")</f>
        <v/>
      </c>
      <c r="V30">
        <f>HYPERLINK("https://klasma.github.io/Logging_0840/klagomål/A 22170-2020 FSC-klagomål.docx", "A 22170-2020")</f>
        <v/>
      </c>
      <c r="W30">
        <f>HYPERLINK("https://klasma.github.io/Logging_0840/klagomålsmail/A 22170-2020 FSC-klagomål mail.docx", "A 22170-2020")</f>
        <v/>
      </c>
      <c r="X30">
        <f>HYPERLINK("https://klasma.github.io/Logging_0840/tillsyn/A 22170-2020 tillsynsbegäran.docx", "A 22170-2020")</f>
        <v/>
      </c>
      <c r="Y30">
        <f>HYPERLINK("https://klasma.github.io/Logging_0840/tillsynsmail/A 22170-2020 tillsynsbegäran mail.docx", "A 22170-2020")</f>
        <v/>
      </c>
    </row>
    <row r="31" ht="15" customHeight="1">
      <c r="A31" t="inlineStr">
        <is>
          <t>A 42694-2020</t>
        </is>
      </c>
      <c r="B31" s="1" t="n">
        <v>44077</v>
      </c>
      <c r="C31" s="1" t="n">
        <v>45335</v>
      </c>
      <c r="D31" t="inlineStr">
        <is>
          <t>KALMAR LÄN</t>
        </is>
      </c>
      <c r="E31" t="inlineStr">
        <is>
          <t>MÖRBYLÅNGA</t>
        </is>
      </c>
      <c r="G31" t="n">
        <v>0.9</v>
      </c>
      <c r="H31" t="n">
        <v>0</v>
      </c>
      <c r="I31" t="n">
        <v>0</v>
      </c>
      <c r="J31" t="n">
        <v>0</v>
      </c>
      <c r="K31" t="n">
        <v>1</v>
      </c>
      <c r="L31" t="n">
        <v>0</v>
      </c>
      <c r="M31" t="n">
        <v>0</v>
      </c>
      <c r="N31" t="n">
        <v>0</v>
      </c>
      <c r="O31" t="n">
        <v>1</v>
      </c>
      <c r="P31" t="n">
        <v>1</v>
      </c>
      <c r="Q31" t="n">
        <v>1</v>
      </c>
      <c r="R31" s="2" t="inlineStr">
        <is>
          <t>Gaffelfibbla</t>
        </is>
      </c>
      <c r="S31">
        <f>HYPERLINK("https://klasma.github.io/Logging_0840/artfynd/A 42694-2020 artfynd.xlsx", "A 42694-2020")</f>
        <v/>
      </c>
      <c r="T31">
        <f>HYPERLINK("https://klasma.github.io/Logging_0840/kartor/A 42694-2020 karta.png", "A 42694-2020")</f>
        <v/>
      </c>
      <c r="V31">
        <f>HYPERLINK("https://klasma.github.io/Logging_0840/klagomål/A 42694-2020 FSC-klagomål.docx", "A 42694-2020")</f>
        <v/>
      </c>
      <c r="W31">
        <f>HYPERLINK("https://klasma.github.io/Logging_0840/klagomålsmail/A 42694-2020 FSC-klagomål mail.docx", "A 42694-2020")</f>
        <v/>
      </c>
      <c r="X31">
        <f>HYPERLINK("https://klasma.github.io/Logging_0840/tillsyn/A 42694-2020 tillsynsbegäran.docx", "A 42694-2020")</f>
        <v/>
      </c>
      <c r="Y31">
        <f>HYPERLINK("https://klasma.github.io/Logging_0840/tillsynsmail/A 42694-2020 tillsynsbegäran mail.docx", "A 42694-2020")</f>
        <v/>
      </c>
    </row>
    <row r="32" ht="15" customHeight="1">
      <c r="A32" t="inlineStr">
        <is>
          <t>A 51244-2021</t>
        </is>
      </c>
      <c r="B32" s="1" t="n">
        <v>44460</v>
      </c>
      <c r="C32" s="1" t="n">
        <v>45335</v>
      </c>
      <c r="D32" t="inlineStr">
        <is>
          <t>KALMAR LÄN</t>
        </is>
      </c>
      <c r="E32" t="inlineStr">
        <is>
          <t>MÖRBYLÅNGA</t>
        </is>
      </c>
      <c r="G32" t="n">
        <v>1.9</v>
      </c>
      <c r="H32" t="n">
        <v>0</v>
      </c>
      <c r="I32" t="n">
        <v>0</v>
      </c>
      <c r="J32" t="n">
        <v>0</v>
      </c>
      <c r="K32" t="n">
        <v>0</v>
      </c>
      <c r="L32" t="n">
        <v>1</v>
      </c>
      <c r="M32" t="n">
        <v>0</v>
      </c>
      <c r="N32" t="n">
        <v>0</v>
      </c>
      <c r="O32" t="n">
        <v>1</v>
      </c>
      <c r="P32" t="n">
        <v>1</v>
      </c>
      <c r="Q32" t="n">
        <v>1</v>
      </c>
      <c r="R32" s="2" t="inlineStr">
        <is>
          <t>Stäppbandbi</t>
        </is>
      </c>
      <c r="S32">
        <f>HYPERLINK("https://klasma.github.io/Logging_0840/artfynd/A 51244-2021 artfynd.xlsx", "A 51244-2021")</f>
        <v/>
      </c>
      <c r="T32">
        <f>HYPERLINK("https://klasma.github.io/Logging_0840/kartor/A 51244-2021 karta.png", "A 51244-2021")</f>
        <v/>
      </c>
      <c r="V32">
        <f>HYPERLINK("https://klasma.github.io/Logging_0840/klagomål/A 51244-2021 FSC-klagomål.docx", "A 51244-2021")</f>
        <v/>
      </c>
      <c r="W32">
        <f>HYPERLINK("https://klasma.github.io/Logging_0840/klagomålsmail/A 51244-2021 FSC-klagomål mail.docx", "A 51244-2021")</f>
        <v/>
      </c>
      <c r="X32">
        <f>HYPERLINK("https://klasma.github.io/Logging_0840/tillsyn/A 51244-2021 tillsynsbegäran.docx", "A 51244-2021")</f>
        <v/>
      </c>
      <c r="Y32">
        <f>HYPERLINK("https://klasma.github.io/Logging_0840/tillsynsmail/A 51244-2021 tillsynsbegäran mail.docx", "A 51244-2021")</f>
        <v/>
      </c>
    </row>
    <row r="33" ht="15" customHeight="1">
      <c r="A33" t="inlineStr">
        <is>
          <t>A 54192-2021</t>
        </is>
      </c>
      <c r="B33" s="1" t="n">
        <v>44470</v>
      </c>
      <c r="C33" s="1" t="n">
        <v>45335</v>
      </c>
      <c r="D33" t="inlineStr">
        <is>
          <t>KALMAR LÄN</t>
        </is>
      </c>
      <c r="E33" t="inlineStr">
        <is>
          <t>MÖRBYLÅNGA</t>
        </is>
      </c>
      <c r="G33" t="n">
        <v>1.5</v>
      </c>
      <c r="H33" t="n">
        <v>0</v>
      </c>
      <c r="I33" t="n">
        <v>0</v>
      </c>
      <c r="J33" t="n">
        <v>1</v>
      </c>
      <c r="K33" t="n">
        <v>0</v>
      </c>
      <c r="L33" t="n">
        <v>0</v>
      </c>
      <c r="M33" t="n">
        <v>0</v>
      </c>
      <c r="N33" t="n">
        <v>0</v>
      </c>
      <c r="O33" t="n">
        <v>1</v>
      </c>
      <c r="P33" t="n">
        <v>0</v>
      </c>
      <c r="Q33" t="n">
        <v>1</v>
      </c>
      <c r="R33" s="2" t="inlineStr">
        <is>
          <t>Sminkrot</t>
        </is>
      </c>
      <c r="S33">
        <f>HYPERLINK("https://klasma.github.io/Logging_0840/artfynd/A 54192-2021 artfynd.xlsx", "A 54192-2021")</f>
        <v/>
      </c>
      <c r="T33">
        <f>HYPERLINK("https://klasma.github.io/Logging_0840/kartor/A 54192-2021 karta.png", "A 54192-2021")</f>
        <v/>
      </c>
      <c r="V33">
        <f>HYPERLINK("https://klasma.github.io/Logging_0840/klagomål/A 54192-2021 FSC-klagomål.docx", "A 54192-2021")</f>
        <v/>
      </c>
      <c r="W33">
        <f>HYPERLINK("https://klasma.github.io/Logging_0840/klagomålsmail/A 54192-2021 FSC-klagomål mail.docx", "A 54192-2021")</f>
        <v/>
      </c>
      <c r="X33">
        <f>HYPERLINK("https://klasma.github.io/Logging_0840/tillsyn/A 54192-2021 tillsynsbegäran.docx", "A 54192-2021")</f>
        <v/>
      </c>
      <c r="Y33">
        <f>HYPERLINK("https://klasma.github.io/Logging_0840/tillsynsmail/A 54192-2021 tillsynsbegäran mail.docx", "A 54192-2021")</f>
        <v/>
      </c>
    </row>
    <row r="34" ht="15" customHeight="1">
      <c r="A34" t="inlineStr">
        <is>
          <t>A 19459-2023</t>
        </is>
      </c>
      <c r="B34" s="1" t="n">
        <v>45049</v>
      </c>
      <c r="C34" s="1" t="n">
        <v>45335</v>
      </c>
      <c r="D34" t="inlineStr">
        <is>
          <t>KALMAR LÄN</t>
        </is>
      </c>
      <c r="E34" t="inlineStr">
        <is>
          <t>MÖRBYLÅNGA</t>
        </is>
      </c>
      <c r="G34" t="n">
        <v>1.6</v>
      </c>
      <c r="H34" t="n">
        <v>0</v>
      </c>
      <c r="I34" t="n">
        <v>0</v>
      </c>
      <c r="J34" t="n">
        <v>0</v>
      </c>
      <c r="K34" t="n">
        <v>1</v>
      </c>
      <c r="L34" t="n">
        <v>0</v>
      </c>
      <c r="M34" t="n">
        <v>0</v>
      </c>
      <c r="N34" t="n">
        <v>0</v>
      </c>
      <c r="O34" t="n">
        <v>1</v>
      </c>
      <c r="P34" t="n">
        <v>1</v>
      </c>
      <c r="Q34" t="n">
        <v>1</v>
      </c>
      <c r="R34" s="2" t="inlineStr">
        <is>
          <t>Luddvicker</t>
        </is>
      </c>
      <c r="S34">
        <f>HYPERLINK("https://klasma.github.io/Logging_0840/artfynd/A 19459-2023 artfynd.xlsx", "A 19459-2023")</f>
        <v/>
      </c>
      <c r="T34">
        <f>HYPERLINK("https://klasma.github.io/Logging_0840/kartor/A 19459-2023 karta.png", "A 19459-2023")</f>
        <v/>
      </c>
      <c r="V34">
        <f>HYPERLINK("https://klasma.github.io/Logging_0840/klagomål/A 19459-2023 FSC-klagomål.docx", "A 19459-2023")</f>
        <v/>
      </c>
      <c r="W34">
        <f>HYPERLINK("https://klasma.github.io/Logging_0840/klagomålsmail/A 19459-2023 FSC-klagomål mail.docx", "A 19459-2023")</f>
        <v/>
      </c>
      <c r="X34">
        <f>HYPERLINK("https://klasma.github.io/Logging_0840/tillsyn/A 19459-2023 tillsynsbegäran.docx", "A 19459-2023")</f>
        <v/>
      </c>
      <c r="Y34">
        <f>HYPERLINK("https://klasma.github.io/Logging_0840/tillsynsmail/A 19459-2023 tillsynsbegäran mail.docx", "A 19459-2023")</f>
        <v/>
      </c>
    </row>
    <row r="35" ht="15" customHeight="1">
      <c r="A35" t="inlineStr">
        <is>
          <t>A 24700-2023</t>
        </is>
      </c>
      <c r="B35" s="1" t="n">
        <v>45084</v>
      </c>
      <c r="C35" s="1" t="n">
        <v>45335</v>
      </c>
      <c r="D35" t="inlineStr">
        <is>
          <t>KALMAR LÄN</t>
        </is>
      </c>
      <c r="E35" t="inlineStr">
        <is>
          <t>MÖRBYLÅNGA</t>
        </is>
      </c>
      <c r="G35" t="n">
        <v>3</v>
      </c>
      <c r="H35" t="n">
        <v>0</v>
      </c>
      <c r="I35" t="n">
        <v>1</v>
      </c>
      <c r="J35" t="n">
        <v>0</v>
      </c>
      <c r="K35" t="n">
        <v>0</v>
      </c>
      <c r="L35" t="n">
        <v>0</v>
      </c>
      <c r="M35" t="n">
        <v>0</v>
      </c>
      <c r="N35" t="n">
        <v>0</v>
      </c>
      <c r="O35" t="n">
        <v>0</v>
      </c>
      <c r="P35" t="n">
        <v>0</v>
      </c>
      <c r="Q35" t="n">
        <v>1</v>
      </c>
      <c r="R35" s="2" t="inlineStr">
        <is>
          <t>Sårläka</t>
        </is>
      </c>
      <c r="S35">
        <f>HYPERLINK("https://klasma.github.io/Logging_0840/artfynd/A 24700-2023 artfynd.xlsx", "A 24700-2023")</f>
        <v/>
      </c>
      <c r="T35">
        <f>HYPERLINK("https://klasma.github.io/Logging_0840/kartor/A 24700-2023 karta.png", "A 24700-2023")</f>
        <v/>
      </c>
      <c r="V35">
        <f>HYPERLINK("https://klasma.github.io/Logging_0840/klagomål/A 24700-2023 FSC-klagomål.docx", "A 24700-2023")</f>
        <v/>
      </c>
      <c r="W35">
        <f>HYPERLINK("https://klasma.github.io/Logging_0840/klagomålsmail/A 24700-2023 FSC-klagomål mail.docx", "A 24700-2023")</f>
        <v/>
      </c>
      <c r="X35">
        <f>HYPERLINK("https://klasma.github.io/Logging_0840/tillsyn/A 24700-2023 tillsynsbegäran.docx", "A 24700-2023")</f>
        <v/>
      </c>
      <c r="Y35">
        <f>HYPERLINK("https://klasma.github.io/Logging_0840/tillsynsmail/A 24700-2023 tillsynsbegäran mail.docx", "A 24700-2023")</f>
        <v/>
      </c>
    </row>
    <row r="36" ht="15" customHeight="1">
      <c r="A36" t="inlineStr">
        <is>
          <t>A 24695-2023</t>
        </is>
      </c>
      <c r="B36" s="1" t="n">
        <v>45084</v>
      </c>
      <c r="C36" s="1" t="n">
        <v>45335</v>
      </c>
      <c r="D36" t="inlineStr">
        <is>
          <t>KALMAR LÄN</t>
        </is>
      </c>
      <c r="E36" t="inlineStr">
        <is>
          <t>MÖRBYLÅNGA</t>
        </is>
      </c>
      <c r="G36" t="n">
        <v>8.5</v>
      </c>
      <c r="H36" t="n">
        <v>0</v>
      </c>
      <c r="I36" t="n">
        <v>0</v>
      </c>
      <c r="J36" t="n">
        <v>0</v>
      </c>
      <c r="K36" t="n">
        <v>0</v>
      </c>
      <c r="L36" t="n">
        <v>1</v>
      </c>
      <c r="M36" t="n">
        <v>0</v>
      </c>
      <c r="N36" t="n">
        <v>0</v>
      </c>
      <c r="O36" t="n">
        <v>1</v>
      </c>
      <c r="P36" t="n">
        <v>1</v>
      </c>
      <c r="Q36" t="n">
        <v>1</v>
      </c>
      <c r="R36" s="2" t="inlineStr">
        <is>
          <t>Ask</t>
        </is>
      </c>
      <c r="S36">
        <f>HYPERLINK("https://klasma.github.io/Logging_0840/artfynd/A 24695-2023 artfynd.xlsx", "A 24695-2023")</f>
        <v/>
      </c>
      <c r="T36">
        <f>HYPERLINK("https://klasma.github.io/Logging_0840/kartor/A 24695-2023 karta.png", "A 24695-2023")</f>
        <v/>
      </c>
      <c r="V36">
        <f>HYPERLINK("https://klasma.github.io/Logging_0840/klagomål/A 24695-2023 FSC-klagomål.docx", "A 24695-2023")</f>
        <v/>
      </c>
      <c r="W36">
        <f>HYPERLINK("https://klasma.github.io/Logging_0840/klagomålsmail/A 24695-2023 FSC-klagomål mail.docx", "A 24695-2023")</f>
        <v/>
      </c>
      <c r="X36">
        <f>HYPERLINK("https://klasma.github.io/Logging_0840/tillsyn/A 24695-2023 tillsynsbegäran.docx", "A 24695-2023")</f>
        <v/>
      </c>
      <c r="Y36">
        <f>HYPERLINK("https://klasma.github.io/Logging_0840/tillsynsmail/A 24695-2023 tillsynsbegäran mail.docx", "A 24695-2023")</f>
        <v/>
      </c>
    </row>
    <row r="37" ht="15" customHeight="1">
      <c r="A37" t="inlineStr">
        <is>
          <t>A 24698-2023</t>
        </is>
      </c>
      <c r="B37" s="1" t="n">
        <v>45084</v>
      </c>
      <c r="C37" s="1" t="n">
        <v>45335</v>
      </c>
      <c r="D37" t="inlineStr">
        <is>
          <t>KALMAR LÄN</t>
        </is>
      </c>
      <c r="E37" t="inlineStr">
        <is>
          <t>MÖRBYLÅNGA</t>
        </is>
      </c>
      <c r="G37" t="n">
        <v>5.5</v>
      </c>
      <c r="H37" t="n">
        <v>0</v>
      </c>
      <c r="I37" t="n">
        <v>1</v>
      </c>
      <c r="J37" t="n">
        <v>0</v>
      </c>
      <c r="K37" t="n">
        <v>0</v>
      </c>
      <c r="L37" t="n">
        <v>0</v>
      </c>
      <c r="M37" t="n">
        <v>0</v>
      </c>
      <c r="N37" t="n">
        <v>0</v>
      </c>
      <c r="O37" t="n">
        <v>0</v>
      </c>
      <c r="P37" t="n">
        <v>0</v>
      </c>
      <c r="Q37" t="n">
        <v>1</v>
      </c>
      <c r="R37" s="2" t="inlineStr">
        <is>
          <t>Sårläka</t>
        </is>
      </c>
      <c r="S37">
        <f>HYPERLINK("https://klasma.github.io/Logging_0840/artfynd/A 24698-2023 artfynd.xlsx", "A 24698-2023")</f>
        <v/>
      </c>
      <c r="T37">
        <f>HYPERLINK("https://klasma.github.io/Logging_0840/kartor/A 24698-2023 karta.png", "A 24698-2023")</f>
        <v/>
      </c>
      <c r="V37">
        <f>HYPERLINK("https://klasma.github.io/Logging_0840/klagomål/A 24698-2023 FSC-klagomål.docx", "A 24698-2023")</f>
        <v/>
      </c>
      <c r="W37">
        <f>HYPERLINK("https://klasma.github.io/Logging_0840/klagomålsmail/A 24698-2023 FSC-klagomål mail.docx", "A 24698-2023")</f>
        <v/>
      </c>
      <c r="X37">
        <f>HYPERLINK("https://klasma.github.io/Logging_0840/tillsyn/A 24698-2023 tillsynsbegäran.docx", "A 24698-2023")</f>
        <v/>
      </c>
      <c r="Y37">
        <f>HYPERLINK("https://klasma.github.io/Logging_0840/tillsynsmail/A 24698-2023 tillsynsbegäran mail.docx", "A 24698-2023")</f>
        <v/>
      </c>
    </row>
    <row r="38" ht="15" customHeight="1">
      <c r="A38" t="inlineStr">
        <is>
          <t>A 6084-2019</t>
        </is>
      </c>
      <c r="B38" s="1" t="n">
        <v>43493</v>
      </c>
      <c r="C38" s="1" t="n">
        <v>45335</v>
      </c>
      <c r="D38" t="inlineStr">
        <is>
          <t>KALMAR LÄN</t>
        </is>
      </c>
      <c r="E38" t="inlineStr">
        <is>
          <t>MÖRBYLÅNGA</t>
        </is>
      </c>
      <c r="G38" t="n">
        <v>0.7</v>
      </c>
      <c r="H38" t="n">
        <v>0</v>
      </c>
      <c r="I38" t="n">
        <v>0</v>
      </c>
      <c r="J38" t="n">
        <v>0</v>
      </c>
      <c r="K38" t="n">
        <v>0</v>
      </c>
      <c r="L38" t="n">
        <v>0</v>
      </c>
      <c r="M38" t="n">
        <v>0</v>
      </c>
      <c r="N38" t="n">
        <v>0</v>
      </c>
      <c r="O38" t="n">
        <v>0</v>
      </c>
      <c r="P38" t="n">
        <v>0</v>
      </c>
      <c r="Q38" t="n">
        <v>0</v>
      </c>
      <c r="R38" s="2" t="inlineStr"/>
    </row>
    <row r="39" ht="15" customHeight="1">
      <c r="A39" t="inlineStr">
        <is>
          <t>A 7193-2019</t>
        </is>
      </c>
      <c r="B39" s="1" t="n">
        <v>43496</v>
      </c>
      <c r="C39" s="1" t="n">
        <v>45335</v>
      </c>
      <c r="D39" t="inlineStr">
        <is>
          <t>KALMAR LÄN</t>
        </is>
      </c>
      <c r="E39" t="inlineStr">
        <is>
          <t>MÖRBYLÅNGA</t>
        </is>
      </c>
      <c r="G39" t="n">
        <v>0.8</v>
      </c>
      <c r="H39" t="n">
        <v>0</v>
      </c>
      <c r="I39" t="n">
        <v>0</v>
      </c>
      <c r="J39" t="n">
        <v>0</v>
      </c>
      <c r="K39" t="n">
        <v>0</v>
      </c>
      <c r="L39" t="n">
        <v>0</v>
      </c>
      <c r="M39" t="n">
        <v>0</v>
      </c>
      <c r="N39" t="n">
        <v>0</v>
      </c>
      <c r="O39" t="n">
        <v>0</v>
      </c>
      <c r="P39" t="n">
        <v>0</v>
      </c>
      <c r="Q39" t="n">
        <v>0</v>
      </c>
      <c r="R39" s="2" t="inlineStr"/>
    </row>
    <row r="40" ht="15" customHeight="1">
      <c r="A40" t="inlineStr">
        <is>
          <t>A 9970-2019</t>
        </is>
      </c>
      <c r="B40" s="1" t="n">
        <v>43509</v>
      </c>
      <c r="C40" s="1" t="n">
        <v>45335</v>
      </c>
      <c r="D40" t="inlineStr">
        <is>
          <t>KALMAR LÄN</t>
        </is>
      </c>
      <c r="E40" t="inlineStr">
        <is>
          <t>MÖRBYLÅNGA</t>
        </is>
      </c>
      <c r="G40" t="n">
        <v>0.4</v>
      </c>
      <c r="H40" t="n">
        <v>0</v>
      </c>
      <c r="I40" t="n">
        <v>0</v>
      </c>
      <c r="J40" t="n">
        <v>0</v>
      </c>
      <c r="K40" t="n">
        <v>0</v>
      </c>
      <c r="L40" t="n">
        <v>0</v>
      </c>
      <c r="M40" t="n">
        <v>0</v>
      </c>
      <c r="N40" t="n">
        <v>0</v>
      </c>
      <c r="O40" t="n">
        <v>0</v>
      </c>
      <c r="P40" t="n">
        <v>0</v>
      </c>
      <c r="Q40" t="n">
        <v>0</v>
      </c>
      <c r="R40" s="2" t="inlineStr"/>
    </row>
    <row r="41" ht="15" customHeight="1">
      <c r="A41" t="inlineStr">
        <is>
          <t>A 9967-2019</t>
        </is>
      </c>
      <c r="B41" s="1" t="n">
        <v>43509</v>
      </c>
      <c r="C41" s="1" t="n">
        <v>45335</v>
      </c>
      <c r="D41" t="inlineStr">
        <is>
          <t>KALMAR LÄN</t>
        </is>
      </c>
      <c r="E41" t="inlineStr">
        <is>
          <t>MÖRBYLÅNGA</t>
        </is>
      </c>
      <c r="G41" t="n">
        <v>2.7</v>
      </c>
      <c r="H41" t="n">
        <v>0</v>
      </c>
      <c r="I41" t="n">
        <v>0</v>
      </c>
      <c r="J41" t="n">
        <v>0</v>
      </c>
      <c r="K41" t="n">
        <v>0</v>
      </c>
      <c r="L41" t="n">
        <v>0</v>
      </c>
      <c r="M41" t="n">
        <v>0</v>
      </c>
      <c r="N41" t="n">
        <v>0</v>
      </c>
      <c r="O41" t="n">
        <v>0</v>
      </c>
      <c r="P41" t="n">
        <v>0</v>
      </c>
      <c r="Q41" t="n">
        <v>0</v>
      </c>
      <c r="R41" s="2" t="inlineStr"/>
    </row>
    <row r="42" ht="15" customHeight="1">
      <c r="A42" t="inlineStr">
        <is>
          <t>A 24851-2019</t>
        </is>
      </c>
      <c r="B42" s="1" t="n">
        <v>43602</v>
      </c>
      <c r="C42" s="1" t="n">
        <v>45335</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45335</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45335</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45335</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45335</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45335</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45335</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45335</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45335</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45335</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45335</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45335</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45335</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45335</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45335</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21214-2023</t>
        </is>
      </c>
      <c r="B57" s="1" t="n">
        <v>45062</v>
      </c>
      <c r="C57" s="1" t="n">
        <v>45335</v>
      </c>
      <c r="D57" t="inlineStr">
        <is>
          <t>KALMAR LÄN</t>
        </is>
      </c>
      <c r="E57" t="inlineStr">
        <is>
          <t>MÖRBYLÅNGA</t>
        </is>
      </c>
      <c r="G57" t="n">
        <v>3.5</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45335</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c r="A59" t="inlineStr">
        <is>
          <t>A 4152-2024</t>
        </is>
      </c>
      <c r="B59" s="1" t="n">
        <v>45323</v>
      </c>
      <c r="C59" s="1" t="n">
        <v>45335</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2024-02-13T10:54:20Z</dcterms:created>
  <dcterms:modified xmlns:dcterms="http://purl.org/dc/terms/" xmlns:xsi="http://www.w3.org/2001/XMLSchema-instance" xsi:type="dcterms:W3CDTF">2024-02-13T10:54:20Z</dcterms:modified>
</cp:coreProperties>
</file>