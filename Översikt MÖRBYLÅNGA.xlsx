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46070</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46070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46070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46070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46070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46070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46070</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46070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46070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46070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46070</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2864-2026</t>
        </is>
      </c>
      <c r="B21" s="1" t="n">
        <v>46038</v>
      </c>
      <c r="C21" s="1" t="n">
        <v>46070</v>
      </c>
      <c r="D21" t="inlineStr">
        <is>
          <t>KALMAR LÄN</t>
        </is>
      </c>
      <c r="E21" t="inlineStr">
        <is>
          <t>MÖRBYLÅNGA</t>
        </is>
      </c>
      <c r="G21" t="n">
        <v>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2864-2026 artfynd.xlsx", "A 2864-2026")</f>
        <v/>
      </c>
      <c r="T21">
        <f>HYPERLINK("https://klasma.github.io/Logging_0840/kartor/A 2864-2026 karta.png", "A 2864-2026")</f>
        <v/>
      </c>
      <c r="V21">
        <f>HYPERLINK("https://klasma.github.io/Logging_0840/klagomål/A 2864-2026 FSC-klagomål.docx", "A 2864-2026")</f>
        <v/>
      </c>
      <c r="W21">
        <f>HYPERLINK("https://klasma.github.io/Logging_0840/klagomålsmail/A 2864-2026 FSC-klagomål mail.docx", "A 2864-2026")</f>
        <v/>
      </c>
      <c r="X21">
        <f>HYPERLINK("https://klasma.github.io/Logging_0840/tillsyn/A 2864-2026 tillsynsbegäran.docx", "A 2864-2026")</f>
        <v/>
      </c>
      <c r="Y21">
        <f>HYPERLINK("https://klasma.github.io/Logging_0840/tillsynsmail/A 2864-2026 tillsynsbegäran mail.docx", "A 2864-2026")</f>
        <v/>
      </c>
      <c r="Z21">
        <f>HYPERLINK("https://klasma.github.io/Logging_0840/fåglar/A 2864-2026 prioriterade fågelarter.docx", "A 2864-2026")</f>
        <v/>
      </c>
    </row>
    <row r="22" ht="15" customHeight="1">
      <c r="A22" t="inlineStr">
        <is>
          <t>A 62231-2023</t>
        </is>
      </c>
      <c r="B22" s="1" t="n">
        <v>45267</v>
      </c>
      <c r="C22" s="1" t="n">
        <v>46070</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46070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46070</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46070</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46070</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46070</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46070</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43704-2025</t>
        </is>
      </c>
      <c r="B29" s="1" t="n">
        <v>45912.40490740741</v>
      </c>
      <c r="C29" s="1" t="n">
        <v>46070</v>
      </c>
      <c r="D29" t="inlineStr">
        <is>
          <t>KALMAR LÄN</t>
        </is>
      </c>
      <c r="E29" t="inlineStr">
        <is>
          <t>MÖRBYLÅNGA</t>
        </is>
      </c>
      <c r="G29" t="n">
        <v>2.7</v>
      </c>
      <c r="H29" t="n">
        <v>0</v>
      </c>
      <c r="I29" t="n">
        <v>1</v>
      </c>
      <c r="J29" t="n">
        <v>0</v>
      </c>
      <c r="K29" t="n">
        <v>0</v>
      </c>
      <c r="L29" t="n">
        <v>0</v>
      </c>
      <c r="M29" t="n">
        <v>0</v>
      </c>
      <c r="N29" t="n">
        <v>0</v>
      </c>
      <c r="O29" t="n">
        <v>0</v>
      </c>
      <c r="P29" t="n">
        <v>0</v>
      </c>
      <c r="Q29" t="n">
        <v>1</v>
      </c>
      <c r="R29" s="2" t="inlineStr">
        <is>
          <t>Blomkålssvamp</t>
        </is>
      </c>
      <c r="S29">
        <f>HYPERLINK("https://klasma.github.io/Logging_0840/artfynd/A 43704-2025 artfynd.xlsx", "A 43704-2025")</f>
        <v/>
      </c>
      <c r="T29">
        <f>HYPERLINK("https://klasma.github.io/Logging_0840/kartor/A 43704-2025 karta.png", "A 43704-2025")</f>
        <v/>
      </c>
      <c r="V29">
        <f>HYPERLINK("https://klasma.github.io/Logging_0840/klagomål/A 43704-2025 FSC-klagomål.docx", "A 43704-2025")</f>
        <v/>
      </c>
      <c r="W29">
        <f>HYPERLINK("https://klasma.github.io/Logging_0840/klagomålsmail/A 43704-2025 FSC-klagomål mail.docx", "A 43704-2025")</f>
        <v/>
      </c>
      <c r="X29">
        <f>HYPERLINK("https://klasma.github.io/Logging_0840/tillsyn/A 43704-2025 tillsynsbegäran.docx", "A 43704-2025")</f>
        <v/>
      </c>
      <c r="Y29">
        <f>HYPERLINK("https://klasma.github.io/Logging_0840/tillsynsmail/A 43704-2025 tillsynsbegäran mail.docx", "A 43704-2025")</f>
        <v/>
      </c>
    </row>
    <row r="30" ht="15" customHeight="1">
      <c r="A30" t="inlineStr">
        <is>
          <t>A 19459-2023</t>
        </is>
      </c>
      <c r="B30" s="1" t="n">
        <v>45049</v>
      </c>
      <c r="C30" s="1" t="n">
        <v>46070</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46070</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62183-2025</t>
        </is>
      </c>
      <c r="B32" s="1" t="n">
        <v>46006.5356712963</v>
      </c>
      <c r="C32" s="1" t="n">
        <v>46070</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5733-2026</t>
        </is>
      </c>
      <c r="B33" s="1" t="n">
        <v>46051.5745949074</v>
      </c>
      <c r="C33" s="1" t="n">
        <v>46070</v>
      </c>
      <c r="D33" t="inlineStr">
        <is>
          <t>KALMAR LÄN</t>
        </is>
      </c>
      <c r="E33" t="inlineStr">
        <is>
          <t>MÖRBYLÅNGA</t>
        </is>
      </c>
      <c r="G33" t="n">
        <v>1.1</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46070</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46070</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13040-2024</t>
        </is>
      </c>
      <c r="B36" s="1" t="n">
        <v>45385</v>
      </c>
      <c r="C36" s="1" t="n">
        <v>46070</v>
      </c>
      <c r="D36" t="inlineStr">
        <is>
          <t>KALMAR LÄN</t>
        </is>
      </c>
      <c r="E36" t="inlineStr">
        <is>
          <t>MÖRBYLÅNGA</t>
        </is>
      </c>
      <c r="G36" t="n">
        <v>1.2</v>
      </c>
      <c r="H36" t="n">
        <v>0</v>
      </c>
      <c r="I36" t="n">
        <v>0</v>
      </c>
      <c r="J36" t="n">
        <v>0</v>
      </c>
      <c r="K36" t="n">
        <v>0</v>
      </c>
      <c r="L36" t="n">
        <v>0</v>
      </c>
      <c r="M36" t="n">
        <v>0</v>
      </c>
      <c r="N36" t="n">
        <v>0</v>
      </c>
      <c r="O36" t="n">
        <v>0</v>
      </c>
      <c r="P36" t="n">
        <v>0</v>
      </c>
      <c r="Q36" t="n">
        <v>0</v>
      </c>
      <c r="R36" s="2" t="inlineStr"/>
    </row>
    <row r="37" ht="15" customHeight="1">
      <c r="A37" t="inlineStr">
        <is>
          <t>A 13384-2023</t>
        </is>
      </c>
      <c r="B37" s="1" t="n">
        <v>45005</v>
      </c>
      <c r="C37" s="1" t="n">
        <v>46070</v>
      </c>
      <c r="D37" t="inlineStr">
        <is>
          <t>KALMAR LÄN</t>
        </is>
      </c>
      <c r="E37" t="inlineStr">
        <is>
          <t>MÖRBYLÅNGA</t>
        </is>
      </c>
      <c r="G37" t="n">
        <v>0.9</v>
      </c>
      <c r="H37" t="n">
        <v>0</v>
      </c>
      <c r="I37" t="n">
        <v>0</v>
      </c>
      <c r="J37" t="n">
        <v>0</v>
      </c>
      <c r="K37" t="n">
        <v>0</v>
      </c>
      <c r="L37" t="n">
        <v>0</v>
      </c>
      <c r="M37" t="n">
        <v>0</v>
      </c>
      <c r="N37" t="n">
        <v>0</v>
      </c>
      <c r="O37" t="n">
        <v>0</v>
      </c>
      <c r="P37" t="n">
        <v>0</v>
      </c>
      <c r="Q37" t="n">
        <v>0</v>
      </c>
      <c r="R37" s="2" t="inlineStr"/>
    </row>
    <row r="38">
      <c r="A38" t="inlineStr">
        <is>
          <t>A 72167-2021</t>
        </is>
      </c>
      <c r="B38" s="1" t="n">
        <v>44544</v>
      </c>
      <c r="C38" s="1" t="n">
        <v>46070</v>
      </c>
      <c r="D38" t="inlineStr">
        <is>
          <t>KALMAR LÄN</t>
        </is>
      </c>
      <c r="E38" t="inlineStr">
        <is>
          <t>MÖRBYLÅNGA</t>
        </is>
      </c>
      <c r="G38" t="n">
        <v>3.5</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2026-02-17T11:40:39Z</dcterms:created>
  <dcterms:modified xmlns:dcterms="http://purl.org/dc/terms/" xmlns:xsi="http://www.w3.org/2001/XMLSchema-instance" xsi:type="dcterms:W3CDTF">2026-02-17T11:40:39Z</dcterms:modified>
</cp:coreProperties>
</file>