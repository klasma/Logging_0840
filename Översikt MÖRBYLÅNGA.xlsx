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46289</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46289</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46289</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46289</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46289</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46289</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46289</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46289</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46289</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46289</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46289</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46289</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46289</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46289</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24778-2022</t>
        </is>
      </c>
      <c r="B16" t="inlineStr">
        <is>
          <t>avverkningsanmälan</t>
        </is>
      </c>
      <c r="C16" t="inlineStr">
        <is>
          <t>Föryngringsavverkning</t>
        </is>
      </c>
      <c r="D16" s="1" t="n">
        <v>44728</v>
      </c>
      <c r="E16" s="1" t="n">
        <v>46289</v>
      </c>
      <c r="F16" t="inlineStr">
        <is>
          <t>KALMAR LÄN</t>
        </is>
      </c>
      <c r="G16" t="inlineStr">
        <is>
          <t>MÖRBYLÅNGA</t>
        </is>
      </c>
      <c r="I16" t="n">
        <v>1</v>
      </c>
      <c r="J16" t="n">
        <v>1</v>
      </c>
      <c r="K16" t="n">
        <v>2</v>
      </c>
      <c r="L16" t="n">
        <v>7</v>
      </c>
      <c r="M16" t="n">
        <v>0</v>
      </c>
      <c r="N16" t="n">
        <v>1</v>
      </c>
      <c r="O16" t="n">
        <v>0</v>
      </c>
      <c r="P16" t="n">
        <v>0</v>
      </c>
      <c r="Q16" t="n">
        <v>8</v>
      </c>
      <c r="R16" t="n">
        <v>1</v>
      </c>
      <c r="S16" t="n">
        <v>11</v>
      </c>
      <c r="T16" t="n">
        <v>20</v>
      </c>
      <c r="U16" t="n">
        <v>20</v>
      </c>
      <c r="V16" s="2" t="inlineStr">
        <is>
          <t>Tofsäxing
Backtimjan
Flentimotej
Grådådra
Poppeltofsskivling
Slåtterfibbla
Sminkrot
Solvända
Kalktallört
Murgröna
Blåsippa</t>
        </is>
      </c>
      <c r="W16">
        <f>HYPERLINK("https://klasma.github.io/Logging_0840/artfynd/A 24778-2022 artfynd.xlsx", "A 24778-2022")</f>
        <v/>
      </c>
      <c r="X16">
        <f>HYPERLINK("https://klasma.github.io/Logging_0840/kartor/A 24778-2022 karta.png", "A 24778-2022")</f>
        <v/>
      </c>
      <c r="Y16">
        <f>HYPERLINK("https://klasma.github.io/Logging_0840/kartor_geotiff/A 24778-2022 georefererad karta.tif", "A 24778-2022")</f>
        <v/>
      </c>
      <c r="AA16">
        <f>HYPERLINK("https://klasma.github.io/Logging_0840/klagomål/A 24778-2022 FSC-klagomål.docx", "A 24778-2022")</f>
        <v/>
      </c>
      <c r="AB16">
        <f>HYPERLINK("https://klasma.github.io/Logging_0840/klagomålsmail/A 24778-2022 FSC-klagomål mail.docx", "A 24778-2022")</f>
        <v/>
      </c>
      <c r="AC16">
        <f>HYPERLINK("https://klasma.github.io/Logging_0840/tillsyn/A 24778-2022 tillsynsbegäran.docx", "A 24778-2022")</f>
        <v/>
      </c>
      <c r="AD16">
        <f>HYPERLINK("https://klasma.github.io/Logging_0840/tillsynsmail/A 24778-2022 tillsynsbegäran mail.docx", "A 24778-2022")</f>
        <v/>
      </c>
    </row>
    <row r="17" ht="15" customHeight="1">
      <c r="A17" t="inlineStr">
        <is>
          <t>A 38039-2022</t>
        </is>
      </c>
      <c r="B17" t="inlineStr">
        <is>
          <t>avverkningsanmälan</t>
        </is>
      </c>
      <c r="C17" t="inlineStr">
        <is>
          <t>Avverkning för annat ändamål</t>
        </is>
      </c>
      <c r="D17" s="1" t="n">
        <v>44811</v>
      </c>
      <c r="E17" s="1" t="n">
        <v>46289</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46289</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46289</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46289</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46289</v>
      </c>
      <c r="F21" t="inlineStr">
        <is>
          <t>KALMAR LÄN</t>
        </is>
      </c>
      <c r="G21" t="inlineStr">
        <is>
          <t>MÖRBYLÅNGA</t>
        </is>
      </c>
      <c r="I21" t="n">
        <v>4.7</v>
      </c>
      <c r="J21" t="n">
        <v>4</v>
      </c>
      <c r="K21" t="n">
        <v>2</v>
      </c>
      <c r="L21" t="n">
        <v>3</v>
      </c>
      <c r="M21" t="n">
        <v>3</v>
      </c>
      <c r="N21" t="n">
        <v>0</v>
      </c>
      <c r="O21" t="n">
        <v>0</v>
      </c>
      <c r="P21" t="n">
        <v>0</v>
      </c>
      <c r="Q21" t="n">
        <v>6</v>
      </c>
      <c r="R21" t="n">
        <v>3</v>
      </c>
      <c r="S21" t="n">
        <v>9</v>
      </c>
      <c r="T21" t="n">
        <v>12</v>
      </c>
      <c r="U21" t="n">
        <v>8</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46289</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46289</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46289</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46289</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46289</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46289</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46289</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46289</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46289</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54167-2024</t>
        </is>
      </c>
      <c r="B31" t="inlineStr">
        <is>
          <t>avverkningsanmälan</t>
        </is>
      </c>
      <c r="C31" t="inlineStr">
        <is>
          <t>Föryngringsavverkning</t>
        </is>
      </c>
      <c r="D31" s="1" t="n">
        <v>45616</v>
      </c>
      <c r="E31" s="1" t="n">
        <v>46289</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19459-2023</t>
        </is>
      </c>
      <c r="B32" t="inlineStr">
        <is>
          <t>avverkningsanmälan</t>
        </is>
      </c>
      <c r="C32" t="inlineStr">
        <is>
          <t>Avverkning för annat ändamål</t>
        </is>
      </c>
      <c r="D32" s="1" t="n">
        <v>45049</v>
      </c>
      <c r="E32" s="1" t="n">
        <v>46289</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46289</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34431-2026</t>
        </is>
      </c>
      <c r="B34" t="inlineStr">
        <is>
          <t>avverkningsanmälan</t>
        </is>
      </c>
      <c r="C34" t="inlineStr">
        <is>
          <t>Avverkning för annat ändamål</t>
        </is>
      </c>
      <c r="D34" s="1" t="n">
        <v>46254</v>
      </c>
      <c r="E34" s="1" t="n">
        <v>46289</v>
      </c>
      <c r="F34" t="inlineStr">
        <is>
          <t>KALMAR LÄN</t>
        </is>
      </c>
      <c r="G34" t="inlineStr">
        <is>
          <t>MÖRBYLÅNGA</t>
        </is>
      </c>
      <c r="I34" t="n">
        <v>8.300000000000001</v>
      </c>
      <c r="J34" t="n">
        <v>2</v>
      </c>
      <c r="K34" t="n">
        <v>1</v>
      </c>
      <c r="L34" t="n">
        <v>3</v>
      </c>
      <c r="M34" t="n">
        <v>0</v>
      </c>
      <c r="N34" t="n">
        <v>0</v>
      </c>
      <c r="O34" t="n">
        <v>0</v>
      </c>
      <c r="P34" t="n">
        <v>0</v>
      </c>
      <c r="Q34" t="n">
        <v>3</v>
      </c>
      <c r="R34" t="n">
        <v>0</v>
      </c>
      <c r="S34" t="n">
        <v>4</v>
      </c>
      <c r="T34" t="n">
        <v>5</v>
      </c>
      <c r="U34" t="n">
        <v>1</v>
      </c>
      <c r="V34" s="2" t="inlineStr">
        <is>
          <t>Entita
Mindre hackspett
Sandtimotej
Murgröna</t>
        </is>
      </c>
      <c r="W34">
        <f>HYPERLINK("https://klasma.github.io/Logging_0840/artfynd/A 34431-2026 artfynd.xlsx", "A 34431-2026")</f>
        <v/>
      </c>
      <c r="X34">
        <f>HYPERLINK("https://klasma.github.io/Logging_0840/kartor/A 34431-2026 karta.png", "A 34431-2026")</f>
        <v/>
      </c>
      <c r="Y34">
        <f>HYPERLINK("https://klasma.github.io/Logging_0840/kartor_geotiff/A 34431-2026 georefererad karta.tif", "A 34431-2026")</f>
        <v/>
      </c>
      <c r="AA34">
        <f>HYPERLINK("https://klasma.github.io/Logging_0840/klagomål/A 34431-2026 FSC-klagomål.docx", "A 34431-2026")</f>
        <v/>
      </c>
      <c r="AB34">
        <f>HYPERLINK("https://klasma.github.io/Logging_0840/klagomålsmail/A 34431-2026 FSC-klagomål mail.docx", "A 34431-2026")</f>
        <v/>
      </c>
      <c r="AC34">
        <f>HYPERLINK("https://klasma.github.io/Logging_0840/tillsyn/A 34431-2026 tillsynsbegäran.docx", "A 34431-2026")</f>
        <v/>
      </c>
      <c r="AD34">
        <f>HYPERLINK("https://klasma.github.io/Logging_0840/tillsynsmail/A 34431-2026 tillsynsbegäran mail.docx", "A 34431-2026")</f>
        <v/>
      </c>
      <c r="AE34">
        <f>HYPERLINK("https://klasma.github.io/Logging_0840/fåglar/A 34431-2026 prioriterade fågelarter.docx", "A 34431-2026")</f>
        <v/>
      </c>
    </row>
    <row r="35" ht="15" customHeight="1">
      <c r="A35" t="inlineStr">
        <is>
          <t>A 15600-2025</t>
        </is>
      </c>
      <c r="B35" t="inlineStr">
        <is>
          <t>avverkningsanmälan</t>
        </is>
      </c>
      <c r="C35" t="inlineStr">
        <is>
          <t>Avverkning för annat ändamål</t>
        </is>
      </c>
      <c r="D35" s="1" t="n">
        <v>45747</v>
      </c>
      <c r="E35" s="1" t="n">
        <v>46289</v>
      </c>
      <c r="F35" t="inlineStr">
        <is>
          <t>KALMAR LÄN</t>
        </is>
      </c>
      <c r="G35" t="inlineStr">
        <is>
          <t>MÖRBYLÅNGA</t>
        </is>
      </c>
      <c r="I35" t="n">
        <v>1.1</v>
      </c>
      <c r="J35" t="n">
        <v>0</v>
      </c>
      <c r="K35" t="n">
        <v>3</v>
      </c>
      <c r="L35" t="n">
        <v>0</v>
      </c>
      <c r="M35" t="n">
        <v>0</v>
      </c>
      <c r="N35" t="n">
        <v>0</v>
      </c>
      <c r="O35" t="n">
        <v>0</v>
      </c>
      <c r="P35" t="n">
        <v>0</v>
      </c>
      <c r="Q35" t="n">
        <v>0</v>
      </c>
      <c r="R35" t="n">
        <v>0</v>
      </c>
      <c r="S35" t="n">
        <v>3</v>
      </c>
      <c r="T35" t="n">
        <v>3</v>
      </c>
      <c r="U35" t="n">
        <v>1</v>
      </c>
      <c r="V35" s="2" t="inlineStr">
        <is>
          <t>Kragjordstjärna
Murgröna
Scharlakansvårskål agg.</t>
        </is>
      </c>
      <c r="W35">
        <f>HYPERLINK("https://klasma.github.io/Logging_0840/artfynd/A 15600-2025 artfynd.xlsx", "A 15600-2025")</f>
        <v/>
      </c>
      <c r="X35">
        <f>HYPERLINK("https://klasma.github.io/Logging_0840/kartor/A 15600-2025 karta.png", "A 15600-2025")</f>
        <v/>
      </c>
      <c r="Y35">
        <f>HYPERLINK("https://klasma.github.io/Logging_0840/kartor_geotiff/A 15600-2025 georefererad karta.tif", "A 15600-2025")</f>
        <v/>
      </c>
      <c r="AA35">
        <f>HYPERLINK("https://klasma.github.io/Logging_0840/klagomål/A 15600-2025 FSC-klagomål.docx", "A 15600-2025")</f>
        <v/>
      </c>
      <c r="AB35">
        <f>HYPERLINK("https://klasma.github.io/Logging_0840/klagomålsmail/A 15600-2025 FSC-klagomål mail.docx", "A 15600-2025")</f>
        <v/>
      </c>
      <c r="AC35">
        <f>HYPERLINK("https://klasma.github.io/Logging_0840/tillsyn/A 15600-2025 tillsynsbegäran.docx", "A 15600-2025")</f>
        <v/>
      </c>
      <c r="AD35">
        <f>HYPERLINK("https://klasma.github.io/Logging_0840/tillsynsmail/A 15600-2025 tillsynsbegäran mail.docx", "A 15600-2025")</f>
        <v/>
      </c>
    </row>
    <row r="36" ht="15" customHeight="1">
      <c r="A36" t="inlineStr">
        <is>
          <t>A 43702-2025</t>
        </is>
      </c>
      <c r="B36" t="inlineStr">
        <is>
          <t>avverkningsanmälan</t>
        </is>
      </c>
      <c r="C36" t="inlineStr">
        <is>
          <t>Föryngringsavverkning</t>
        </is>
      </c>
      <c r="D36" s="1" t="n">
        <v>45912</v>
      </c>
      <c r="E36" s="1" t="n">
        <v>46289</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46289</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54192-2021</t>
        </is>
      </c>
      <c r="B38" t="inlineStr">
        <is>
          <t>avverkningsanmälan</t>
        </is>
      </c>
      <c r="C38" t="inlineStr">
        <is>
          <t>Föryngringsavverkning</t>
        </is>
      </c>
      <c r="D38" s="1" t="n">
        <v>44470</v>
      </c>
      <c r="E38" s="1" t="n">
        <v>46289</v>
      </c>
      <c r="F38" t="inlineStr">
        <is>
          <t>KALMAR LÄN</t>
        </is>
      </c>
      <c r="G38" t="inlineStr">
        <is>
          <t>MÖRBYLÅNGA</t>
        </is>
      </c>
      <c r="I38" t="n">
        <v>1.5</v>
      </c>
      <c r="J38" t="n">
        <v>1</v>
      </c>
      <c r="K38" t="n">
        <v>0</v>
      </c>
      <c r="L38" t="n">
        <v>2</v>
      </c>
      <c r="M38" t="n">
        <v>0</v>
      </c>
      <c r="N38" t="n">
        <v>0</v>
      </c>
      <c r="O38" t="n">
        <v>0</v>
      </c>
      <c r="P38" t="n">
        <v>0</v>
      </c>
      <c r="Q38" t="n">
        <v>2</v>
      </c>
      <c r="R38" t="n">
        <v>0</v>
      </c>
      <c r="S38" t="n">
        <v>2</v>
      </c>
      <c r="T38" t="n">
        <v>2</v>
      </c>
      <c r="U38" t="n">
        <v>2</v>
      </c>
      <c r="V38" s="2" t="inlineStr">
        <is>
          <t>Ladusvala
Sminkrot</t>
        </is>
      </c>
      <c r="W38">
        <f>HYPERLINK("https://klasma.github.io/Logging_0840/artfynd/A 54192-2021 artfynd.xlsx", "A 54192-2021")</f>
        <v/>
      </c>
      <c r="X38">
        <f>HYPERLINK("https://klasma.github.io/Logging_0840/kartor/A 54192-2021 karta.png", "A 54192-2021")</f>
        <v/>
      </c>
      <c r="Y38">
        <f>HYPERLINK("https://klasma.github.io/Logging_0840/kartor_geotiff/A 54192-2021 georefererad karta.tif", "A 54192-2021")</f>
        <v/>
      </c>
      <c r="AA38">
        <f>HYPERLINK("https://klasma.github.io/Logging_0840/klagomål/A 54192-2021 FSC-klagomål.docx", "A 54192-2021")</f>
        <v/>
      </c>
      <c r="AB38">
        <f>HYPERLINK("https://klasma.github.io/Logging_0840/klagomålsmail/A 54192-2021 FSC-klagomål mail.docx", "A 54192-2021")</f>
        <v/>
      </c>
      <c r="AC38">
        <f>HYPERLINK("https://klasma.github.io/Logging_0840/tillsyn/A 54192-2021 tillsynsbegäran.docx", "A 54192-2021")</f>
        <v/>
      </c>
      <c r="AD38">
        <f>HYPERLINK("https://klasma.github.io/Logging_0840/tillsynsmail/A 54192-2021 tillsynsbegäran mail.docx", "A 54192-2021")</f>
        <v/>
      </c>
    </row>
    <row r="39" ht="15" customHeight="1">
      <c r="A39" t="inlineStr">
        <is>
          <t>A 72167-2021</t>
        </is>
      </c>
      <c r="B39" t="inlineStr">
        <is>
          <t>avverkningsanmälan</t>
        </is>
      </c>
      <c r="C39" t="inlineStr">
        <is>
          <t>Föryngringsavverkning</t>
        </is>
      </c>
      <c r="D39" s="1" t="n">
        <v>44544</v>
      </c>
      <c r="E39" s="1" t="n">
        <v>46289</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A 62231-2023</t>
        </is>
      </c>
      <c r="B40" t="inlineStr">
        <is>
          <t>avverkningsanmälan</t>
        </is>
      </c>
      <c r="C40" t="inlineStr">
        <is>
          <t>Avverkning för annat ändamål</t>
        </is>
      </c>
      <c r="D40" s="1" t="n">
        <v>45267</v>
      </c>
      <c r="E40" s="1" t="n">
        <v>46289</v>
      </c>
      <c r="F40" t="inlineStr">
        <is>
          <t>KALMAR LÄN</t>
        </is>
      </c>
      <c r="G40" t="inlineStr">
        <is>
          <t>MÖRBYLÅNGA</t>
        </is>
      </c>
      <c r="I40" t="n">
        <v>1.6</v>
      </c>
      <c r="J40" t="n">
        <v>1</v>
      </c>
      <c r="K40" t="n">
        <v>1</v>
      </c>
      <c r="L40" t="n">
        <v>0</v>
      </c>
      <c r="M40" t="n">
        <v>0</v>
      </c>
      <c r="N40" t="n">
        <v>0</v>
      </c>
      <c r="O40" t="n">
        <v>0</v>
      </c>
      <c r="P40" t="n">
        <v>0</v>
      </c>
      <c r="Q40" t="n">
        <v>0</v>
      </c>
      <c r="R40" t="n">
        <v>0</v>
      </c>
      <c r="S40" t="n">
        <v>2</v>
      </c>
      <c r="T40" t="n">
        <v>2</v>
      </c>
      <c r="U40" t="n">
        <v>2</v>
      </c>
      <c r="V40" s="2" t="inlineStr">
        <is>
          <t>Murgröna
Blåsippa</t>
        </is>
      </c>
      <c r="W40">
        <f>HYPERLINK("https://klasma.github.io/Logging_0840/artfynd/A 62231-2023 artfynd.xlsx", "A 62231-2023")</f>
        <v/>
      </c>
      <c r="X40">
        <f>HYPERLINK("https://klasma.github.io/Logging_0840/kartor/A 62231-2023 karta.png", "A 62231-2023")</f>
        <v/>
      </c>
      <c r="Y40">
        <f>HYPERLINK("https://klasma.github.io/Logging_0840/kartor_geotiff/A 62231-2023 georefererad karta.tif", "A 62231-2023")</f>
        <v/>
      </c>
      <c r="AA40">
        <f>HYPERLINK("https://klasma.github.io/Logging_0840/klagomål/A 62231-2023 FSC-klagomål.docx", "A 62231-2023")</f>
        <v/>
      </c>
      <c r="AB40">
        <f>HYPERLINK("https://klasma.github.io/Logging_0840/klagomålsmail/A 62231-2023 FSC-klagomål mail.docx", "A 62231-2023")</f>
        <v/>
      </c>
      <c r="AC40">
        <f>HYPERLINK("https://klasma.github.io/Logging_0840/tillsyn/A 62231-2023 tillsynsbegäran.docx", "A 62231-2023")</f>
        <v/>
      </c>
      <c r="AD40">
        <f>HYPERLINK("https://klasma.github.io/Logging_0840/tillsynsmail/A 62231-2023 tillsynsbegäran mail.docx", "A 62231-2023")</f>
        <v/>
      </c>
    </row>
    <row r="41" ht="15" customHeight="1">
      <c r="A41" t="inlineStr">
        <is>
          <t>S 2138-2026</t>
        </is>
      </c>
      <c r="B41" t="inlineStr">
        <is>
          <t>samrådsanmälan</t>
        </is>
      </c>
      <c r="C41" t="inlineStr">
        <is>
          <t>Annan skogsbruksåtgärd</t>
        </is>
      </c>
      <c r="D41" s="1" t="n">
        <v>46246</v>
      </c>
      <c r="E41" s="1" t="n">
        <v>46289</v>
      </c>
      <c r="F41" t="inlineStr">
        <is>
          <t>KALMAR LÄN</t>
        </is>
      </c>
      <c r="G41" t="inlineStr">
        <is>
          <t>MÖRBYLÅNGA</t>
        </is>
      </c>
      <c r="I41" t="n">
        <v>5.4</v>
      </c>
      <c r="J41" t="n">
        <v>1</v>
      </c>
      <c r="K41" t="n">
        <v>1</v>
      </c>
      <c r="L41" t="n">
        <v>0</v>
      </c>
      <c r="M41" t="n">
        <v>0</v>
      </c>
      <c r="N41" t="n">
        <v>1</v>
      </c>
      <c r="O41" t="n">
        <v>0</v>
      </c>
      <c r="P41" t="n">
        <v>0</v>
      </c>
      <c r="Q41" t="n">
        <v>1</v>
      </c>
      <c r="R41" t="n">
        <v>1</v>
      </c>
      <c r="S41" t="n">
        <v>2</v>
      </c>
      <c r="T41" t="n">
        <v>2</v>
      </c>
      <c r="U41" t="n">
        <v>0</v>
      </c>
      <c r="V41" s="2" t="inlineStr">
        <is>
          <t>Ask
Ekoxe</t>
        </is>
      </c>
      <c r="W41">
        <f>HYPERLINK("https://klasma.github.io/Logging_0840/artfynd/S 2138-2026 artfynd.xlsx", "S 2138-2026")</f>
        <v/>
      </c>
      <c r="X41">
        <f>HYPERLINK("https://klasma.github.io/Logging_0840/kartor/S 2138-2026 karta.png", "S 2138-2026")</f>
        <v/>
      </c>
      <c r="Y41">
        <f>HYPERLINK("https://klasma.github.io/Logging_0840/kartor_geotiff/S 2138-2026 georefererad karta.tif", "S 2138-2026")</f>
        <v/>
      </c>
      <c r="AA41">
        <f>HYPERLINK("https://klasma.github.io/Logging_0840/klagomål/S 2138-2026 FSC-klagomål.docx", "S 2138-2026")</f>
        <v/>
      </c>
      <c r="AB41">
        <f>HYPERLINK("https://klasma.github.io/Logging_0840/klagomålsmail/S 2138-2026 FSC-klagomål mail.docx", "S 2138-2026")</f>
        <v/>
      </c>
      <c r="AC41">
        <f>HYPERLINK("https://klasma.github.io/Logging_0840/tillsyn/S 2138-2026 tillsynsbegäran.docx", "S 2138-2026")</f>
        <v/>
      </c>
      <c r="AD41">
        <f>HYPERLINK("https://klasma.github.io/Logging_0840/tillsynsmail/S 2138-2026 tillsynsbegäran mail.docx", "S 2138-2026")</f>
        <v/>
      </c>
    </row>
    <row r="42" ht="15" customHeight="1">
      <c r="A42" t="inlineStr">
        <is>
          <t>A 13040-2024</t>
        </is>
      </c>
      <c r="B42" t="inlineStr">
        <is>
          <t>avverkningsanmälan</t>
        </is>
      </c>
      <c r="C42" t="inlineStr">
        <is>
          <t>Avverkning för annat ändamål</t>
        </is>
      </c>
      <c r="D42" s="1" t="n">
        <v>45385</v>
      </c>
      <c r="E42" s="1" t="n">
        <v>46289</v>
      </c>
      <c r="F42" t="inlineStr">
        <is>
          <t>KALMAR LÄN</t>
        </is>
      </c>
      <c r="G42" t="inlineStr">
        <is>
          <t>MÖRBYLÅNGA</t>
        </is>
      </c>
      <c r="I42" t="n">
        <v>1.2</v>
      </c>
      <c r="J42" t="n">
        <v>0</v>
      </c>
      <c r="K42" t="n">
        <v>0</v>
      </c>
      <c r="L42" t="n">
        <v>0</v>
      </c>
      <c r="M42" t="n">
        <v>0</v>
      </c>
      <c r="N42" t="n">
        <v>1</v>
      </c>
      <c r="O42" t="n">
        <v>0</v>
      </c>
      <c r="P42" t="n">
        <v>0</v>
      </c>
      <c r="Q42" t="n">
        <v>1</v>
      </c>
      <c r="R42" t="n">
        <v>1</v>
      </c>
      <c r="S42" t="n">
        <v>1</v>
      </c>
      <c r="T42" t="n">
        <v>1</v>
      </c>
      <c r="U42" t="n">
        <v>1</v>
      </c>
      <c r="V42" s="2" t="inlineStr">
        <is>
          <t>Skogsalm</t>
        </is>
      </c>
      <c r="W42">
        <f>HYPERLINK("https://klasma.github.io/Logging_0840/artfynd/A 13040-2024 artfynd.xlsx", "A 13040-2024")</f>
        <v/>
      </c>
      <c r="X42">
        <f>HYPERLINK("https://klasma.github.io/Logging_0840/kartor/A 13040-2024 karta.png", "A 13040-2024")</f>
        <v/>
      </c>
      <c r="Y42">
        <f>HYPERLINK("https://klasma.github.io/Logging_0840/kartor_geotiff/A 13040-2024 georefererad karta.tif", "A 13040-2024")</f>
        <v/>
      </c>
      <c r="AA42">
        <f>HYPERLINK("https://klasma.github.io/Logging_0840/klagomål/A 13040-2024 FSC-klagomål.docx", "A 13040-2024")</f>
        <v/>
      </c>
      <c r="AB42">
        <f>HYPERLINK("https://klasma.github.io/Logging_0840/klagomålsmail/A 13040-2024 FSC-klagomål mail.docx", "A 13040-2024")</f>
        <v/>
      </c>
      <c r="AC42">
        <f>HYPERLINK("https://klasma.github.io/Logging_0840/tillsyn/A 13040-2024 tillsynsbegäran.docx", "A 13040-2024")</f>
        <v/>
      </c>
      <c r="AD42">
        <f>HYPERLINK("https://klasma.github.io/Logging_0840/tillsynsmail/A 13040-2024 tillsynsbegäran mail.docx", "A 13040-2024")</f>
        <v/>
      </c>
    </row>
    <row r="43" ht="15" customHeight="1">
      <c r="A43" t="inlineStr">
        <is>
          <t>A 24698-2023</t>
        </is>
      </c>
      <c r="B43" t="inlineStr">
        <is>
          <t>avverkningsanmälan</t>
        </is>
      </c>
      <c r="C43" t="inlineStr">
        <is>
          <t>Föryngringsavverkning</t>
        </is>
      </c>
      <c r="D43" s="1" t="n">
        <v>45084</v>
      </c>
      <c r="E43" s="1" t="n">
        <v>46289</v>
      </c>
      <c r="F43" t="inlineStr">
        <is>
          <t>KALMAR LÄN</t>
        </is>
      </c>
      <c r="G43" t="inlineStr">
        <is>
          <t>MÖRBYLÅNGA</t>
        </is>
      </c>
      <c r="I43" t="n">
        <v>5.5</v>
      </c>
      <c r="J43" t="n">
        <v>0</v>
      </c>
      <c r="K43" t="n">
        <v>0</v>
      </c>
      <c r="L43" t="n">
        <v>1</v>
      </c>
      <c r="M43" t="n">
        <v>0</v>
      </c>
      <c r="N43" t="n">
        <v>0</v>
      </c>
      <c r="O43" t="n">
        <v>0</v>
      </c>
      <c r="P43" t="n">
        <v>0</v>
      </c>
      <c r="Q43" t="n">
        <v>1</v>
      </c>
      <c r="R43" t="n">
        <v>0</v>
      </c>
      <c r="S43" t="n">
        <v>1</v>
      </c>
      <c r="T43" t="n">
        <v>1</v>
      </c>
      <c r="U43" t="n">
        <v>1</v>
      </c>
      <c r="V43" s="2" t="inlineStr">
        <is>
          <t>Sårläka</t>
        </is>
      </c>
      <c r="W43">
        <f>HYPERLINK("https://klasma.github.io/Logging_0840/artfynd/A 24698-2023 artfynd.xlsx", "A 24698-2023")</f>
        <v/>
      </c>
      <c r="X43">
        <f>HYPERLINK("https://klasma.github.io/Logging_0840/kartor/A 24698-2023 karta.png", "A 24698-2023")</f>
        <v/>
      </c>
      <c r="Y43">
        <f>HYPERLINK("https://klasma.github.io/Logging_0840/kartor_geotiff/A 24698-2023 georefererad karta.tif", "A 24698-2023")</f>
        <v/>
      </c>
      <c r="AA43">
        <f>HYPERLINK("https://klasma.github.io/Logging_0840/klagomål/A 24698-2023 FSC-klagomål.docx", "A 24698-2023")</f>
        <v/>
      </c>
      <c r="AB43">
        <f>HYPERLINK("https://klasma.github.io/Logging_0840/klagomålsmail/A 24698-2023 FSC-klagomål mail.docx", "A 24698-2023")</f>
        <v/>
      </c>
      <c r="AC43">
        <f>HYPERLINK("https://klasma.github.io/Logging_0840/tillsyn/A 24698-2023 tillsynsbegäran.docx", "A 24698-2023")</f>
        <v/>
      </c>
      <c r="AD43">
        <f>HYPERLINK("https://klasma.github.io/Logging_0840/tillsynsmail/A 24698-2023 tillsynsbegäran mail.docx", "A 24698-2023")</f>
        <v/>
      </c>
    </row>
    <row r="44" ht="15" customHeight="1">
      <c r="A44" t="inlineStr">
        <is>
          <t>A 13384-2023</t>
        </is>
      </c>
      <c r="B44" t="inlineStr">
        <is>
          <t>avverkningsanmälan</t>
        </is>
      </c>
      <c r="C44" t="inlineStr">
        <is>
          <t>Föryngringsavverkning</t>
        </is>
      </c>
      <c r="D44" s="1" t="n">
        <v>45005</v>
      </c>
      <c r="E44" s="1" t="n">
        <v>46289</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HYPERLINK("https://klasma.github.io/Logging_0840/artfynd/A 13384-2023 artfynd.xlsx", "A 13384-2023")</f>
        <v/>
      </c>
      <c r="X44">
        <f>HYPERLINK("https://klasma.github.io/Logging_0840/kartor/A 13384-2023 karta.png", "A 13384-2023")</f>
        <v/>
      </c>
      <c r="Y44">
        <f>HYPERLINK("https://klasma.github.io/Logging_0840/kartor_geotiff/A 13384-2023 georefererad karta.tif", "A 13384-2023")</f>
        <v/>
      </c>
      <c r="AA44">
        <f>HYPERLINK("https://klasma.github.io/Logging_0840/klagomål/A 13384-2023 FSC-klagomål.docx", "A 13384-2023")</f>
        <v/>
      </c>
      <c r="AB44">
        <f>HYPERLINK("https://klasma.github.io/Logging_0840/klagomålsmail/A 13384-2023 FSC-klagomål mail.docx", "A 13384-2023")</f>
        <v/>
      </c>
      <c r="AC44">
        <f>HYPERLINK("https://klasma.github.io/Logging_0840/tillsyn/A 13384-2023 tillsynsbegäran.docx", "A 13384-2023")</f>
        <v/>
      </c>
      <c r="AD44">
        <f>HYPERLINK("https://klasma.github.io/Logging_0840/tillsynsmail/A 13384-2023 tillsynsbegäran mail.docx", "A 13384-2023")</f>
        <v/>
      </c>
    </row>
    <row r="45" ht="15" customHeight="1">
      <c r="A45" t="inlineStr">
        <is>
          <t>A 62183-2025</t>
        </is>
      </c>
      <c r="B45" t="inlineStr">
        <is>
          <t>avverkningsanmälan</t>
        </is>
      </c>
      <c r="C45" t="inlineStr">
        <is>
          <t>Föryngringsavverkning</t>
        </is>
      </c>
      <c r="D45" s="1" t="n">
        <v>46006</v>
      </c>
      <c r="E45" s="1" t="n">
        <v>46289</v>
      </c>
      <c r="F45" t="inlineStr">
        <is>
          <t>KALMAR LÄN</t>
        </is>
      </c>
      <c r="G45" t="inlineStr">
        <is>
          <t>MÖRBYLÅNGA</t>
        </is>
      </c>
      <c r="I45" t="n">
        <v>0.8</v>
      </c>
      <c r="J45" t="n">
        <v>0</v>
      </c>
      <c r="K45" t="n">
        <v>0</v>
      </c>
      <c r="L45" t="n">
        <v>1</v>
      </c>
      <c r="M45" t="n">
        <v>0</v>
      </c>
      <c r="N45" t="n">
        <v>0</v>
      </c>
      <c r="O45" t="n">
        <v>0</v>
      </c>
      <c r="P45" t="n">
        <v>0</v>
      </c>
      <c r="Q45" t="n">
        <v>1</v>
      </c>
      <c r="R45" t="n">
        <v>0</v>
      </c>
      <c r="S45" t="n">
        <v>1</v>
      </c>
      <c r="T45" t="n">
        <v>1</v>
      </c>
      <c r="U45" t="n">
        <v>0</v>
      </c>
      <c r="V45" s="2" t="inlineStr">
        <is>
          <t>Kösa</t>
        </is>
      </c>
      <c r="W45">
        <f>HYPERLINK("https://klasma.github.io/Logging_0840/artfynd/A 62183-2025 artfynd.xlsx", "A 62183-2025")</f>
        <v/>
      </c>
      <c r="X45">
        <f>HYPERLINK("https://klasma.github.io/Logging_0840/kartor/A 62183-2025 karta.png", "A 62183-2025")</f>
        <v/>
      </c>
      <c r="Y45">
        <f>HYPERLINK("https://klasma.github.io/Logging_0840/kartor_geotiff/A 62183-2025 georefererad karta.tif", "A 62183-2025")</f>
        <v/>
      </c>
      <c r="AA45">
        <f>HYPERLINK("https://klasma.github.io/Logging_0840/klagomål/A 62183-2025 FSC-klagomål.docx", "A 62183-2025")</f>
        <v/>
      </c>
      <c r="AB45">
        <f>HYPERLINK("https://klasma.github.io/Logging_0840/klagomålsmail/A 62183-2025 FSC-klagomål mail.docx", "A 62183-2025")</f>
        <v/>
      </c>
      <c r="AC45">
        <f>HYPERLINK("https://klasma.github.io/Logging_0840/tillsyn/A 62183-2025 tillsynsbegäran.docx", "A 62183-2025")</f>
        <v/>
      </c>
      <c r="AD45">
        <f>HYPERLINK("https://klasma.github.io/Logging_0840/tillsynsmail/A 62183-2025 tillsynsbegäran mail.docx", "A 62183-2025")</f>
        <v/>
      </c>
    </row>
    <row r="46" ht="15" customHeight="1">
      <c r="A46" t="inlineStr">
        <is>
          <t>A 30492-2026</t>
        </is>
      </c>
      <c r="B46" t="inlineStr">
        <is>
          <t>avverkningsanmälan</t>
        </is>
      </c>
      <c r="C46" t="inlineStr">
        <is>
          <t>Avverkning för annat ändamål</t>
        </is>
      </c>
      <c r="D46" s="1" t="n">
        <v>46210</v>
      </c>
      <c r="E46" s="1" t="n">
        <v>46289</v>
      </c>
      <c r="F46" t="inlineStr">
        <is>
          <t>KALMAR LÄN</t>
        </is>
      </c>
      <c r="G46" t="inlineStr">
        <is>
          <t>MÖRBYLÅNGA</t>
        </is>
      </c>
      <c r="I46" t="n">
        <v>2</v>
      </c>
      <c r="J46" t="n">
        <v>0</v>
      </c>
      <c r="K46" t="n">
        <v>0</v>
      </c>
      <c r="L46" t="n">
        <v>1</v>
      </c>
      <c r="M46" t="n">
        <v>0</v>
      </c>
      <c r="N46" t="n">
        <v>0</v>
      </c>
      <c r="O46" t="n">
        <v>0</v>
      </c>
      <c r="P46" t="n">
        <v>0</v>
      </c>
      <c r="Q46" t="n">
        <v>1</v>
      </c>
      <c r="R46" t="n">
        <v>0</v>
      </c>
      <c r="S46" t="n">
        <v>1</v>
      </c>
      <c r="T46" t="n">
        <v>1</v>
      </c>
      <c r="U46" t="n">
        <v>0</v>
      </c>
      <c r="V46" s="2" t="inlineStr">
        <is>
          <t>Jordtistel</t>
        </is>
      </c>
      <c r="W46">
        <f>HYPERLINK("https://klasma.github.io/Logging_0840/artfynd/A 30492-2026 artfynd.xlsx", "A 30492-2026")</f>
        <v/>
      </c>
      <c r="X46">
        <f>HYPERLINK("https://klasma.github.io/Logging_0840/kartor/A 30492-2026 karta.png", "A 30492-2026")</f>
        <v/>
      </c>
      <c r="Y46">
        <f>HYPERLINK("https://klasma.github.io/Logging_0840/kartor_geotiff/A 30492-2026 georefererad karta.tif", "A 30492-2026")</f>
        <v/>
      </c>
      <c r="AA46">
        <f>HYPERLINK("https://klasma.github.io/Logging_0840/klagomål/A 30492-2026 FSC-klagomål.docx", "A 30492-2026")</f>
        <v/>
      </c>
      <c r="AB46">
        <f>HYPERLINK("https://klasma.github.io/Logging_0840/klagomålsmail/A 30492-2026 FSC-klagomål mail.docx", "A 30492-2026")</f>
        <v/>
      </c>
      <c r="AC46">
        <f>HYPERLINK("https://klasma.github.io/Logging_0840/tillsyn/A 30492-2026 tillsynsbegäran.docx", "A 30492-2026")</f>
        <v/>
      </c>
      <c r="AD46">
        <f>HYPERLINK("https://klasma.github.io/Logging_0840/tillsynsmail/A 30492-2026 tillsynsbegäran mail.docx", "A 30492-2026")</f>
        <v/>
      </c>
    </row>
    <row r="47" ht="15" customHeight="1">
      <c r="A47" t="inlineStr">
        <is>
          <t>A 36928-2026</t>
        </is>
      </c>
      <c r="B47" t="inlineStr">
        <is>
          <t>avverkningsanmälan</t>
        </is>
      </c>
      <c r="C47" t="inlineStr">
        <is>
          <t>Föryngringsavverkning</t>
        </is>
      </c>
      <c r="D47" s="1" t="n">
        <v>46273</v>
      </c>
      <c r="E47" s="1" t="n">
        <v>46289</v>
      </c>
      <c r="F47" t="inlineStr">
        <is>
          <t>KALMAR LÄN</t>
        </is>
      </c>
      <c r="G47" t="inlineStr">
        <is>
          <t>MÖRBYLÅNGA</t>
        </is>
      </c>
      <c r="I47" t="n">
        <v>1.3</v>
      </c>
      <c r="J47" t="n">
        <v>1</v>
      </c>
      <c r="K47" t="n">
        <v>1</v>
      </c>
      <c r="L47" t="n">
        <v>0</v>
      </c>
      <c r="M47" t="n">
        <v>0</v>
      </c>
      <c r="N47" t="n">
        <v>0</v>
      </c>
      <c r="O47" t="n">
        <v>0</v>
      </c>
      <c r="P47" t="n">
        <v>0</v>
      </c>
      <c r="Q47" t="n">
        <v>0</v>
      </c>
      <c r="R47" t="n">
        <v>0</v>
      </c>
      <c r="S47" t="n">
        <v>1</v>
      </c>
      <c r="T47" t="n">
        <v>1</v>
      </c>
      <c r="U47" t="n">
        <v>0</v>
      </c>
      <c r="V47" s="2" t="inlineStr">
        <is>
          <t>Tvåblad</t>
        </is>
      </c>
      <c r="W47">
        <f>HYPERLINK("https://klasma.github.io/Logging_0840/artfynd/A 36928-2026 artfynd.xlsx", "A 36928-2026")</f>
        <v/>
      </c>
      <c r="X47">
        <f>HYPERLINK("https://klasma.github.io/Logging_0840/kartor/A 36928-2026 karta.png", "A 36928-2026")</f>
        <v/>
      </c>
      <c r="Y47">
        <f>HYPERLINK("https://klasma.github.io/Logging_0840/kartor_geotiff/A 36928-2026 georefererad karta.tif", "A 36928-2026")</f>
        <v/>
      </c>
      <c r="AA47">
        <f>HYPERLINK("https://klasma.github.io/Logging_0840/klagomål/A 36928-2026 FSC-klagomål.docx", "A 36928-2026")</f>
        <v/>
      </c>
      <c r="AB47">
        <f>HYPERLINK("https://klasma.github.io/Logging_0840/klagomålsmail/A 36928-2026 FSC-klagomål mail.docx", "A 36928-2026")</f>
        <v/>
      </c>
      <c r="AC47">
        <f>HYPERLINK("https://klasma.github.io/Logging_0840/tillsyn/A 36928-2026 tillsynsbegäran.docx", "A 36928-2026")</f>
        <v/>
      </c>
      <c r="AD47">
        <f>HYPERLINK("https://klasma.github.io/Logging_0840/tillsynsmail/A 36928-2026 tillsynsbegäran mail.docx", "A 36928-2026")</f>
        <v/>
      </c>
    </row>
    <row r="48" ht="15" customHeight="1">
      <c r="A48" t="inlineStr">
        <is>
          <t>A 26876-2022</t>
        </is>
      </c>
      <c r="B48" t="inlineStr">
        <is>
          <t>avverkningsanmälan</t>
        </is>
      </c>
      <c r="C48" t="inlineStr">
        <is>
          <t>Avverkning för annat ändamål</t>
        </is>
      </c>
      <c r="D48" s="1" t="n">
        <v>44740</v>
      </c>
      <c r="E48" s="1" t="n">
        <v>46289</v>
      </c>
      <c r="F48" t="inlineStr">
        <is>
          <t>KALMAR LÄN</t>
        </is>
      </c>
      <c r="G48" t="inlineStr">
        <is>
          <t>MÖRBYLÅNGA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57407-2025</t>
        </is>
      </c>
      <c r="B49" t="inlineStr">
        <is>
          <t>avverkningsanmälan</t>
        </is>
      </c>
      <c r="C49" t="inlineStr">
        <is>
          <t>Föryngringsavverkning</t>
        </is>
      </c>
      <c r="D49" s="1" t="n">
        <v>45980</v>
      </c>
      <c r="E49" s="1" t="n">
        <v>46289</v>
      </c>
      <c r="F49" t="inlineStr">
        <is>
          <t>KALMAR LÄN</t>
        </is>
      </c>
      <c r="G49" t="inlineStr">
        <is>
          <t>MÖRBYLÅNGA</t>
        </is>
      </c>
      <c r="I49" t="n">
        <v>0.8</v>
      </c>
      <c r="J49" t="n">
        <v>0</v>
      </c>
      <c r="K49" t="n">
        <v>0</v>
      </c>
      <c r="L49" t="n">
        <v>0</v>
      </c>
      <c r="M49" t="n">
        <v>0</v>
      </c>
      <c r="N49" t="n">
        <v>0</v>
      </c>
      <c r="O49" t="n">
        <v>0</v>
      </c>
      <c r="P49" t="n">
        <v>0</v>
      </c>
      <c r="Q49" t="n">
        <v>0</v>
      </c>
      <c r="R49" t="n">
        <v>0</v>
      </c>
      <c r="S49" t="n">
        <v>0</v>
      </c>
      <c r="T49" t="n">
        <v>0</v>
      </c>
      <c r="U49" t="n">
        <v>0</v>
      </c>
      <c r="V49" s="2" t="inlineStr"/>
    </row>
    <row r="50">
      <c r="A50" t="inlineStr">
        <is>
          <t>S 1602-2026</t>
        </is>
      </c>
      <c r="B50" t="inlineStr">
        <is>
          <t>samrådsanmälan</t>
        </is>
      </c>
      <c r="C50" t="inlineStr">
        <is>
          <t>Annan skogsbruksåtgärd</t>
        </is>
      </c>
      <c r="D50" s="1" t="n">
        <v>46171</v>
      </c>
      <c r="E50" s="1" t="n">
        <v>46289</v>
      </c>
      <c r="F50" t="inlineStr">
        <is>
          <t>KALMAR LÄN</t>
        </is>
      </c>
      <c r="G50" t="inlineStr">
        <is>
          <t>MÖRBYLÅNGA</t>
        </is>
      </c>
      <c r="I50" t="n">
        <v>2.1</v>
      </c>
      <c r="J50" t="n">
        <v>0</v>
      </c>
      <c r="K50" t="n">
        <v>0</v>
      </c>
      <c r="L50" t="n">
        <v>0</v>
      </c>
      <c r="M50" t="n">
        <v>0</v>
      </c>
      <c r="N50" t="n">
        <v>0</v>
      </c>
      <c r="O50" t="n">
        <v>0</v>
      </c>
      <c r="P50" t="n">
        <v>0</v>
      </c>
      <c r="Q50" t="n">
        <v>0</v>
      </c>
      <c r="R50" t="n">
        <v>0</v>
      </c>
      <c r="S50" t="n">
        <v>0</v>
      </c>
      <c r="T50" t="n">
        <v>0</v>
      </c>
      <c r="U50" t="n">
        <v>0</v>
      </c>
      <c r="V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2026-09-24T01:57:05Z</dcterms:created>
  <dcterms:modified xmlns:dcterms="http://purl.org/dc/terms/" xmlns:xsi="http://www.w3.org/2001/XMLSchema-instance" xsi:type="dcterms:W3CDTF">2026-09-24T01:57:05Z</dcterms:modified>
</cp:coreProperties>
</file>