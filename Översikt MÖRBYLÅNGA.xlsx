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45879</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45879</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45879</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45879</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65163-2020</t>
        </is>
      </c>
      <c r="B6" s="1" t="n">
        <v>44172</v>
      </c>
      <c r="C6" s="1" t="n">
        <v>45879</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45879</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45879</v>
      </c>
      <c r="D8" t="inlineStr">
        <is>
          <t>KALMAR LÄN</t>
        </is>
      </c>
      <c r="E8" t="inlineStr">
        <is>
          <t>MÖRBYLÅNGA</t>
        </is>
      </c>
      <c r="G8" t="n">
        <v>2.6</v>
      </c>
      <c r="H8" t="n">
        <v>2</v>
      </c>
      <c r="I8" t="n">
        <v>5</v>
      </c>
      <c r="J8" t="n">
        <v>1</v>
      </c>
      <c r="K8" t="n">
        <v>0</v>
      </c>
      <c r="L8" t="n">
        <v>1</v>
      </c>
      <c r="M8" t="n">
        <v>0</v>
      </c>
      <c r="N8" t="n">
        <v>0</v>
      </c>
      <c r="O8" t="n">
        <v>2</v>
      </c>
      <c r="P8" t="n">
        <v>1</v>
      </c>
      <c r="Q8" t="n">
        <v>9</v>
      </c>
      <c r="R8" s="2" t="inlineStr">
        <is>
          <t>Ask
Olivbrun spindling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row>
    <row r="9" ht="15" customHeight="1">
      <c r="A9" t="inlineStr">
        <is>
          <t>A 59540-2023</t>
        </is>
      </c>
      <c r="B9" s="1" t="n">
        <v>45254</v>
      </c>
      <c r="C9" s="1" t="n">
        <v>45879</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45879</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45879</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45879</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45879</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45879</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45879</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61854-2020</t>
        </is>
      </c>
      <c r="B16" s="1" t="n">
        <v>44155</v>
      </c>
      <c r="C16" s="1" t="n">
        <v>45879</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54167-2024</t>
        </is>
      </c>
      <c r="B17" s="1" t="n">
        <v>45616.62196759259</v>
      </c>
      <c r="C17" s="1" t="n">
        <v>45879</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45879</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57704-2020</t>
        </is>
      </c>
      <c r="B19" s="1" t="n">
        <v>44140</v>
      </c>
      <c r="C19" s="1" t="n">
        <v>45879</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35242-2024</t>
        </is>
      </c>
      <c r="B20" s="1" t="n">
        <v>45530.55440972222</v>
      </c>
      <c r="C20" s="1" t="n">
        <v>45879</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40361-2023</t>
        </is>
      </c>
      <c r="B21" s="1" t="n">
        <v>45169</v>
      </c>
      <c r="C21" s="1" t="n">
        <v>45879</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45879</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62231-2023</t>
        </is>
      </c>
      <c r="B23" s="1" t="n">
        <v>45267</v>
      </c>
      <c r="C23" s="1" t="n">
        <v>45879</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42694-2020</t>
        </is>
      </c>
      <c r="B24" s="1" t="n">
        <v>44077</v>
      </c>
      <c r="C24" s="1" t="n">
        <v>45879</v>
      </c>
      <c r="D24" t="inlineStr">
        <is>
          <t>KALMAR LÄN</t>
        </is>
      </c>
      <c r="E24" t="inlineStr">
        <is>
          <t>MÖRBYLÅNGA</t>
        </is>
      </c>
      <c r="G24" t="n">
        <v>0.9</v>
      </c>
      <c r="H24" t="n">
        <v>0</v>
      </c>
      <c r="I24" t="n">
        <v>0</v>
      </c>
      <c r="J24" t="n">
        <v>0</v>
      </c>
      <c r="K24" t="n">
        <v>1</v>
      </c>
      <c r="L24" t="n">
        <v>0</v>
      </c>
      <c r="M24" t="n">
        <v>0</v>
      </c>
      <c r="N24" t="n">
        <v>0</v>
      </c>
      <c r="O24" t="n">
        <v>1</v>
      </c>
      <c r="P24" t="n">
        <v>1</v>
      </c>
      <c r="Q24" t="n">
        <v>1</v>
      </c>
      <c r="R24" s="2" t="inlineStr">
        <is>
          <t>Gaffelfibbla</t>
        </is>
      </c>
      <c r="S24">
        <f>HYPERLINK("https://klasma.github.io/Logging_0840/artfynd/A 42694-2020 artfynd.xlsx", "A 42694-2020")</f>
        <v/>
      </c>
      <c r="T24">
        <f>HYPERLINK("https://klasma.github.io/Logging_0840/kartor/A 42694-2020 karta.png", "A 42694-2020")</f>
        <v/>
      </c>
      <c r="V24">
        <f>HYPERLINK("https://klasma.github.io/Logging_0840/klagomål/A 42694-2020 FSC-klagomål.docx", "A 42694-2020")</f>
        <v/>
      </c>
      <c r="W24">
        <f>HYPERLINK("https://klasma.github.io/Logging_0840/klagomålsmail/A 42694-2020 FSC-klagomål mail.docx", "A 42694-2020")</f>
        <v/>
      </c>
      <c r="X24">
        <f>HYPERLINK("https://klasma.github.io/Logging_0840/tillsyn/A 42694-2020 tillsynsbegäran.docx", "A 42694-2020")</f>
        <v/>
      </c>
      <c r="Y24">
        <f>HYPERLINK("https://klasma.github.io/Logging_0840/tillsynsmail/A 42694-2020 tillsynsbegäran mail.docx", "A 42694-2020")</f>
        <v/>
      </c>
    </row>
    <row r="25" ht="15" customHeight="1">
      <c r="A25" t="inlineStr">
        <is>
          <t>A 54192-2021</t>
        </is>
      </c>
      <c r="B25" s="1" t="n">
        <v>44470</v>
      </c>
      <c r="C25" s="1" t="n">
        <v>45879</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45879</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24698-2023</t>
        </is>
      </c>
      <c r="B27" s="1" t="n">
        <v>45084</v>
      </c>
      <c r="C27" s="1" t="n">
        <v>45879</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45879</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45879</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45879</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63676-2023</t>
        </is>
      </c>
      <c r="B31" s="1" t="n">
        <v>45275.64739583333</v>
      </c>
      <c r="C31" s="1" t="n">
        <v>45879</v>
      </c>
      <c r="D31" t="inlineStr">
        <is>
          <t>KALMAR LÄN</t>
        </is>
      </c>
      <c r="E31" t="inlineStr">
        <is>
          <t>MÖRBYLÅNGA</t>
        </is>
      </c>
      <c r="G31" t="n">
        <v>1</v>
      </c>
      <c r="H31" t="n">
        <v>0</v>
      </c>
      <c r="I31" t="n">
        <v>0</v>
      </c>
      <c r="J31" t="n">
        <v>0</v>
      </c>
      <c r="K31" t="n">
        <v>0</v>
      </c>
      <c r="L31" t="n">
        <v>0</v>
      </c>
      <c r="M31" t="n">
        <v>0</v>
      </c>
      <c r="N31" t="n">
        <v>0</v>
      </c>
      <c r="O31" t="n">
        <v>0</v>
      </c>
      <c r="P31" t="n">
        <v>0</v>
      </c>
      <c r="Q31" t="n">
        <v>0</v>
      </c>
      <c r="R31" s="2" t="inlineStr"/>
    </row>
    <row r="32" ht="15" customHeight="1">
      <c r="A32" t="inlineStr">
        <is>
          <t>A 72167-2021</t>
        </is>
      </c>
      <c r="B32" s="1" t="n">
        <v>44544</v>
      </c>
      <c r="C32" s="1" t="n">
        <v>45879</v>
      </c>
      <c r="D32" t="inlineStr">
        <is>
          <t>KALMAR LÄN</t>
        </is>
      </c>
      <c r="E32" t="inlineStr">
        <is>
          <t>MÖRBYLÅNGA</t>
        </is>
      </c>
      <c r="G32" t="n">
        <v>3.5</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45879</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c r="A34" t="inlineStr">
        <is>
          <t>A 61865-2020</t>
        </is>
      </c>
      <c r="B34" s="1" t="n">
        <v>44155</v>
      </c>
      <c r="C34" s="1" t="n">
        <v>45879</v>
      </c>
      <c r="D34" t="inlineStr">
        <is>
          <t>KALMAR LÄN</t>
        </is>
      </c>
      <c r="E34" t="inlineStr">
        <is>
          <t>MÖRBYLÅNGA</t>
        </is>
      </c>
      <c r="G34" t="n">
        <v>5</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2025-08-10T08:27:01Z</dcterms:created>
  <dcterms:modified xmlns:dcterms="http://purl.org/dc/terms/" xmlns:xsi="http://www.w3.org/2001/XMLSchema-instance" xsi:type="dcterms:W3CDTF">2025-08-10T08:27:01Z</dcterms:modified>
</cp:coreProperties>
</file>