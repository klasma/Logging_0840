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46103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46103</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46103</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46103</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46103</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46103</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46103</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46103</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38039-2022</t>
        </is>
      </c>
      <c r="B10" s="1" t="n">
        <v>44811</v>
      </c>
      <c r="C10" s="1" t="n">
        <v>46103</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38039-2022 artfynd.xlsx", "A 38039-2022")</f>
        <v/>
      </c>
      <c r="T10">
        <f>HYPERLINK("https://klasma.github.io/Logging_0840/kartor/A 38039-2022 karta.png", "A 38039-2022")</f>
        <v/>
      </c>
      <c r="V10">
        <f>HYPERLINK("https://klasma.github.io/Logging_0840/klagomål/A 38039-2022 FSC-klagomål.docx", "A 38039-2022")</f>
        <v/>
      </c>
      <c r="W10">
        <f>HYPERLINK("https://klasma.github.io/Logging_0840/klagomålsmail/A 38039-2022 FSC-klagomål mail.docx", "A 38039-2022")</f>
        <v/>
      </c>
      <c r="X10">
        <f>HYPERLINK("https://klasma.github.io/Logging_0840/tillsyn/A 38039-2022 tillsynsbegäran.docx", "A 38039-2022")</f>
        <v/>
      </c>
      <c r="Y10">
        <f>HYPERLINK("https://klasma.github.io/Logging_0840/tillsynsmail/A 38039-2022 tillsynsbegäran mail.docx", "A 38039-2022")</f>
        <v/>
      </c>
    </row>
    <row r="11" ht="15" customHeight="1">
      <c r="A11" t="inlineStr">
        <is>
          <t>A 27636-2023</t>
        </is>
      </c>
      <c r="B11" s="1" t="n">
        <v>45097</v>
      </c>
      <c r="C11" s="1" t="n">
        <v>46103</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43714-2025</t>
        </is>
      </c>
      <c r="B12" s="1" t="n">
        <v>45912.40814814815</v>
      </c>
      <c r="C12" s="1" t="n">
        <v>46103</v>
      </c>
      <c r="D12" t="inlineStr">
        <is>
          <t>KALMAR LÄN</t>
        </is>
      </c>
      <c r="E12" t="inlineStr">
        <is>
          <t>MÖRBYLÅNGA</t>
        </is>
      </c>
      <c r="G12" t="n">
        <v>7.9</v>
      </c>
      <c r="H12" t="n">
        <v>1</v>
      </c>
      <c r="I12" t="n">
        <v>1</v>
      </c>
      <c r="J12" t="n">
        <v>4</v>
      </c>
      <c r="K12" t="n">
        <v>0</v>
      </c>
      <c r="L12" t="n">
        <v>0</v>
      </c>
      <c r="M12" t="n">
        <v>0</v>
      </c>
      <c r="N12" t="n">
        <v>0</v>
      </c>
      <c r="O12" t="n">
        <v>4</v>
      </c>
      <c r="P12" t="n">
        <v>0</v>
      </c>
      <c r="Q12" t="n">
        <v>5</v>
      </c>
      <c r="R12" s="2" t="inlineStr">
        <is>
          <t>Alvarsandbi
Grönsångare
Mindre bastardsvärmare
Sexfläckig bastardsvärmare
Tibast</t>
        </is>
      </c>
      <c r="S12">
        <f>HYPERLINK("https://klasma.github.io/Logging_0840/artfynd/A 43714-2025 artfynd.xlsx", "A 43714-2025")</f>
        <v/>
      </c>
      <c r="T12">
        <f>HYPERLINK("https://klasma.github.io/Logging_0840/kartor/A 43714-2025 karta.png", "A 43714-2025")</f>
        <v/>
      </c>
      <c r="V12">
        <f>HYPERLINK("https://klasma.github.io/Logging_0840/klagomål/A 43714-2025 FSC-klagomål.docx", "A 43714-2025")</f>
        <v/>
      </c>
      <c r="W12">
        <f>HYPERLINK("https://klasma.github.io/Logging_0840/klagomålsmail/A 43714-2025 FSC-klagomål mail.docx", "A 43714-2025")</f>
        <v/>
      </c>
      <c r="X12">
        <f>HYPERLINK("https://klasma.github.io/Logging_0840/tillsyn/A 43714-2025 tillsynsbegäran.docx", "A 43714-2025")</f>
        <v/>
      </c>
      <c r="Y12">
        <f>HYPERLINK("https://klasma.github.io/Logging_0840/tillsynsmail/A 43714-2025 tillsynsbegäran mail.docx", "A 43714-2025")</f>
        <v/>
      </c>
      <c r="Z12">
        <f>HYPERLINK("https://klasma.github.io/Logging_0840/fåglar/A 43714-2025 prioriterade fågelarter.docx", "A 43714-2025")</f>
        <v/>
      </c>
    </row>
    <row r="13" ht="15" customHeight="1">
      <c r="A13" t="inlineStr">
        <is>
          <t>A 39320-2024</t>
        </is>
      </c>
      <c r="B13" s="1" t="n">
        <v>45551</v>
      </c>
      <c r="C13" s="1" t="n">
        <v>46103</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60875-2025</t>
        </is>
      </c>
      <c r="B14" s="1" t="n">
        <v>45999.55524305555</v>
      </c>
      <c r="C14" s="1" t="n">
        <v>46103</v>
      </c>
      <c r="D14" t="inlineStr">
        <is>
          <t>KALMAR LÄN</t>
        </is>
      </c>
      <c r="E14" t="inlineStr">
        <is>
          <t>MÖRBYLÅNGA</t>
        </is>
      </c>
      <c r="G14" t="n">
        <v>2.1</v>
      </c>
      <c r="H14" t="n">
        <v>3</v>
      </c>
      <c r="I14" t="n">
        <v>0</v>
      </c>
      <c r="J14" t="n">
        <v>4</v>
      </c>
      <c r="K14" t="n">
        <v>0</v>
      </c>
      <c r="L14" t="n">
        <v>0</v>
      </c>
      <c r="M14" t="n">
        <v>0</v>
      </c>
      <c r="N14" t="n">
        <v>0</v>
      </c>
      <c r="O14" t="n">
        <v>4</v>
      </c>
      <c r="P14" t="n">
        <v>0</v>
      </c>
      <c r="Q14" t="n">
        <v>4</v>
      </c>
      <c r="R14" s="2" t="inlineStr">
        <is>
          <t>Grönsångare
Gulsparv
Kråka
Svinrot</t>
        </is>
      </c>
      <c r="S14">
        <f>HYPERLINK("https://klasma.github.io/Logging_0840/artfynd/A 60875-2025 artfynd.xlsx", "A 60875-2025")</f>
        <v/>
      </c>
      <c r="T14">
        <f>HYPERLINK("https://klasma.github.io/Logging_0840/kartor/A 60875-2025 karta.png", "A 60875-2025")</f>
        <v/>
      </c>
      <c r="V14">
        <f>HYPERLINK("https://klasma.github.io/Logging_0840/klagomål/A 60875-2025 FSC-klagomål.docx", "A 60875-2025")</f>
        <v/>
      </c>
      <c r="W14">
        <f>HYPERLINK("https://klasma.github.io/Logging_0840/klagomålsmail/A 60875-2025 FSC-klagomål mail.docx", "A 60875-2025")</f>
        <v/>
      </c>
      <c r="X14">
        <f>HYPERLINK("https://klasma.github.io/Logging_0840/tillsyn/A 60875-2025 tillsynsbegäran.docx", "A 60875-2025")</f>
        <v/>
      </c>
      <c r="Y14">
        <f>HYPERLINK("https://klasma.github.io/Logging_0840/tillsynsmail/A 60875-2025 tillsynsbegäran mail.docx", "A 60875-2025")</f>
        <v/>
      </c>
      <c r="Z14">
        <f>HYPERLINK("https://klasma.github.io/Logging_0840/fåglar/A 60875-2025 prioriterade fågelarter.docx", "A 60875-2025")</f>
        <v/>
      </c>
    </row>
    <row r="15" ht="15" customHeight="1">
      <c r="A15" t="inlineStr">
        <is>
          <t>A 54167-2024</t>
        </is>
      </c>
      <c r="B15" s="1" t="n">
        <v>45616.62196759259</v>
      </c>
      <c r="C15" s="1" t="n">
        <v>46103</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52906-2021</t>
        </is>
      </c>
      <c r="B16" s="1" t="n">
        <v>44467</v>
      </c>
      <c r="C16" s="1" t="n">
        <v>46103</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46103</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46103</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46103</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62231-2023</t>
        </is>
      </c>
      <c r="B20" s="1" t="n">
        <v>45267</v>
      </c>
      <c r="C20" s="1" t="n">
        <v>46103</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46103</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46103</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46103</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46103</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43702-2025</t>
        </is>
      </c>
      <c r="B25" s="1" t="n">
        <v>45912.40270833333</v>
      </c>
      <c r="C25" s="1" t="n">
        <v>46103</v>
      </c>
      <c r="D25" t="inlineStr">
        <is>
          <t>KALMAR LÄN</t>
        </is>
      </c>
      <c r="E25" t="inlineStr">
        <is>
          <t>MÖRBYLÅNGA</t>
        </is>
      </c>
      <c r="G25" t="n">
        <v>2.6</v>
      </c>
      <c r="H25" t="n">
        <v>0</v>
      </c>
      <c r="I25" t="n">
        <v>1</v>
      </c>
      <c r="J25" t="n">
        <v>0</v>
      </c>
      <c r="K25" t="n">
        <v>0</v>
      </c>
      <c r="L25" t="n">
        <v>0</v>
      </c>
      <c r="M25" t="n">
        <v>0</v>
      </c>
      <c r="N25" t="n">
        <v>0</v>
      </c>
      <c r="O25" t="n">
        <v>0</v>
      </c>
      <c r="P25" t="n">
        <v>0</v>
      </c>
      <c r="Q25" t="n">
        <v>1</v>
      </c>
      <c r="R25" s="2" t="inlineStr">
        <is>
          <t>Sårläka</t>
        </is>
      </c>
      <c r="S25">
        <f>HYPERLINK("https://klasma.github.io/Logging_0840/artfynd/A 43702-2025 artfynd.xlsx", "A 43702-2025")</f>
        <v/>
      </c>
      <c r="T25">
        <f>HYPERLINK("https://klasma.github.io/Logging_0840/kartor/A 43702-2025 karta.png", "A 43702-2025")</f>
        <v/>
      </c>
      <c r="V25">
        <f>HYPERLINK("https://klasma.github.io/Logging_0840/klagomål/A 43702-2025 FSC-klagomål.docx", "A 43702-2025")</f>
        <v/>
      </c>
      <c r="W25">
        <f>HYPERLINK("https://klasma.github.io/Logging_0840/klagomålsmail/A 43702-2025 FSC-klagomål mail.docx", "A 43702-2025")</f>
        <v/>
      </c>
      <c r="X25">
        <f>HYPERLINK("https://klasma.github.io/Logging_0840/tillsyn/A 43702-2025 tillsynsbegäran.docx", "A 43702-2025")</f>
        <v/>
      </c>
      <c r="Y25">
        <f>HYPERLINK("https://klasma.github.io/Logging_0840/tillsynsmail/A 43702-2025 tillsynsbegäran mail.docx", "A 43702-2025")</f>
        <v/>
      </c>
    </row>
    <row r="26" ht="15" customHeight="1">
      <c r="A26" t="inlineStr">
        <is>
          <t>A 43704-2025</t>
        </is>
      </c>
      <c r="B26" s="1" t="n">
        <v>45912.40490740741</v>
      </c>
      <c r="C26" s="1" t="n">
        <v>46103</v>
      </c>
      <c r="D26" t="inlineStr">
        <is>
          <t>KALMAR LÄN</t>
        </is>
      </c>
      <c r="E26" t="inlineStr">
        <is>
          <t>MÖRBYLÅNGA</t>
        </is>
      </c>
      <c r="G26" t="n">
        <v>2.7</v>
      </c>
      <c r="H26" t="n">
        <v>0</v>
      </c>
      <c r="I26" t="n">
        <v>1</v>
      </c>
      <c r="J26" t="n">
        <v>0</v>
      </c>
      <c r="K26" t="n">
        <v>0</v>
      </c>
      <c r="L26" t="n">
        <v>0</v>
      </c>
      <c r="M26" t="n">
        <v>0</v>
      </c>
      <c r="N26" t="n">
        <v>0</v>
      </c>
      <c r="O26" t="n">
        <v>0</v>
      </c>
      <c r="P26" t="n">
        <v>0</v>
      </c>
      <c r="Q26" t="n">
        <v>1</v>
      </c>
      <c r="R26" s="2" t="inlineStr">
        <is>
          <t>Blomkålssvamp</t>
        </is>
      </c>
      <c r="S26">
        <f>HYPERLINK("https://klasma.github.io/Logging_0840/artfynd/A 43704-2025 artfynd.xlsx", "A 43704-2025")</f>
        <v/>
      </c>
      <c r="T26">
        <f>HYPERLINK("https://klasma.github.io/Logging_0840/kartor/A 43704-2025 karta.png", "A 43704-2025")</f>
        <v/>
      </c>
      <c r="V26">
        <f>HYPERLINK("https://klasma.github.io/Logging_0840/klagomål/A 43704-2025 FSC-klagomål.docx", "A 43704-2025")</f>
        <v/>
      </c>
      <c r="W26">
        <f>HYPERLINK("https://klasma.github.io/Logging_0840/klagomålsmail/A 43704-2025 FSC-klagomål mail.docx", "A 43704-2025")</f>
        <v/>
      </c>
      <c r="X26">
        <f>HYPERLINK("https://klasma.github.io/Logging_0840/tillsyn/A 43704-2025 tillsynsbegäran.docx", "A 43704-2025")</f>
        <v/>
      </c>
      <c r="Y26">
        <f>HYPERLINK("https://klasma.github.io/Logging_0840/tillsynsmail/A 43704-2025 tillsynsbegäran mail.docx", "A 43704-2025")</f>
        <v/>
      </c>
    </row>
    <row r="27" ht="15" customHeight="1">
      <c r="A27" t="inlineStr">
        <is>
          <t>A 24698-2023</t>
        </is>
      </c>
      <c r="B27" s="1" t="n">
        <v>45084</v>
      </c>
      <c r="C27" s="1" t="n">
        <v>46103</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46103</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46103</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57407-2025</t>
        </is>
      </c>
      <c r="B30" s="1" t="n">
        <v>45980.44351851852</v>
      </c>
      <c r="C30" s="1" t="n">
        <v>46103</v>
      </c>
      <c r="D30" t="inlineStr">
        <is>
          <t>KALMAR LÄN</t>
        </is>
      </c>
      <c r="E30" t="inlineStr">
        <is>
          <t>MÖRBYLÅNGA</t>
        </is>
      </c>
      <c r="G30" t="n">
        <v>0.8</v>
      </c>
      <c r="H30" t="n">
        <v>0</v>
      </c>
      <c r="I30" t="n">
        <v>0</v>
      </c>
      <c r="J30" t="n">
        <v>0</v>
      </c>
      <c r="K30" t="n">
        <v>0</v>
      </c>
      <c r="L30" t="n">
        <v>0</v>
      </c>
      <c r="M30" t="n">
        <v>0</v>
      </c>
      <c r="N30" t="n">
        <v>0</v>
      </c>
      <c r="O30" t="n">
        <v>0</v>
      </c>
      <c r="P30" t="n">
        <v>0</v>
      </c>
      <c r="Q30" t="n">
        <v>0</v>
      </c>
      <c r="R30" s="2" t="inlineStr"/>
    </row>
    <row r="31" ht="15" customHeight="1">
      <c r="A31" t="inlineStr">
        <is>
          <t>A 62183-2025</t>
        </is>
      </c>
      <c r="B31" s="1" t="n">
        <v>46006.5356712963</v>
      </c>
      <c r="C31" s="1" t="n">
        <v>46103</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46103</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5733-2026</t>
        </is>
      </c>
      <c r="B33" s="1" t="n">
        <v>46051.5745949074</v>
      </c>
      <c r="C33" s="1" t="n">
        <v>46103</v>
      </c>
      <c r="D33" t="inlineStr">
        <is>
          <t>KALMAR LÄN</t>
        </is>
      </c>
      <c r="E33" t="inlineStr">
        <is>
          <t>MÖRBYLÅNGA</t>
        </is>
      </c>
      <c r="G33" t="n">
        <v>1.1</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46103</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46103</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c r="A36" t="inlineStr">
        <is>
          <t>A 72167-2021</t>
        </is>
      </c>
      <c r="B36" s="1" t="n">
        <v>44544</v>
      </c>
      <c r="C36" s="1" t="n">
        <v>46103</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2026-03-22T11:31:12Z</dcterms:created>
  <dcterms:modified xmlns:dcterms="http://purl.org/dc/terms/" xmlns:xsi="http://www.w3.org/2001/XMLSchema-instance" xsi:type="dcterms:W3CDTF">2026-03-22T11:31:12Z</dcterms:modified>
</cp:coreProperties>
</file>