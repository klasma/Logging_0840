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45976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45976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45976</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45976</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45976</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45976</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45976</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45976</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45976</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45976</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45976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24778-2022</t>
        </is>
      </c>
      <c r="B13" s="1" t="n">
        <v>44728</v>
      </c>
      <c r="C13" s="1" t="n">
        <v>45976</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45976</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45976</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45976</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45976</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61865-2020</t>
        </is>
      </c>
      <c r="B18" s="1" t="n">
        <v>44155</v>
      </c>
      <c r="C18" s="1" t="n">
        <v>45976</v>
      </c>
      <c r="D18" t="inlineStr">
        <is>
          <t>KALMAR LÄN</t>
        </is>
      </c>
      <c r="E18" t="inlineStr">
        <is>
          <t>MÖRBYLÅNGA</t>
        </is>
      </c>
      <c r="G18" t="n">
        <v>5</v>
      </c>
      <c r="H18" t="n">
        <v>4</v>
      </c>
      <c r="I18" t="n">
        <v>0</v>
      </c>
      <c r="J18" t="n">
        <v>2</v>
      </c>
      <c r="K18" t="n">
        <v>0</v>
      </c>
      <c r="L18" t="n">
        <v>0</v>
      </c>
      <c r="M18" t="n">
        <v>0</v>
      </c>
      <c r="N18" t="n">
        <v>0</v>
      </c>
      <c r="O18" t="n">
        <v>2</v>
      </c>
      <c r="P18" t="n">
        <v>0</v>
      </c>
      <c r="Q18" t="n">
        <v>4</v>
      </c>
      <c r="R18" s="2" t="inlineStr">
        <is>
          <t>Gulsparv
Mindre hackspett
Järnsparv
Kungsfågel</t>
        </is>
      </c>
      <c r="S18">
        <f>HYPERLINK("https://klasma.github.io/Logging_0840/artfynd/A 61865-2020 artfynd.xlsx", "A 61865-2020")</f>
        <v/>
      </c>
      <c r="T18">
        <f>HYPERLINK("https://klasma.github.io/Logging_0840/kartor/A 61865-2020 karta.png", "A 61865-2020")</f>
        <v/>
      </c>
      <c r="V18">
        <f>HYPERLINK("https://klasma.github.io/Logging_0840/klagomål/A 61865-2020 FSC-klagomål.docx", "A 61865-2020")</f>
        <v/>
      </c>
      <c r="W18">
        <f>HYPERLINK("https://klasma.github.io/Logging_0840/klagomålsmail/A 61865-2020 FSC-klagomål mail.docx", "A 61865-2020")</f>
        <v/>
      </c>
      <c r="X18">
        <f>HYPERLINK("https://klasma.github.io/Logging_0840/tillsyn/A 61865-2020 tillsynsbegäran.docx", "A 61865-2020")</f>
        <v/>
      </c>
      <c r="Y18">
        <f>HYPERLINK("https://klasma.github.io/Logging_0840/tillsynsmail/A 61865-2020 tillsynsbegäran mail.docx", "A 61865-2020")</f>
        <v/>
      </c>
      <c r="Z18">
        <f>HYPERLINK("https://klasma.github.io/Logging_0840/fåglar/A 61865-2020 prioriterade fågelarter.docx", "A 61865-2020")</f>
        <v/>
      </c>
    </row>
    <row r="19" ht="15" customHeight="1">
      <c r="A19" t="inlineStr">
        <is>
          <t>A 54167-2024</t>
        </is>
      </c>
      <c r="B19" s="1" t="n">
        <v>45616.62196759259</v>
      </c>
      <c r="C19" s="1" t="n">
        <v>45976</v>
      </c>
      <c r="D19" t="inlineStr">
        <is>
          <t>KALMAR LÄN</t>
        </is>
      </c>
      <c r="E19" t="inlineStr">
        <is>
          <t>MÖRBYLÅNGA</t>
        </is>
      </c>
      <c r="G19" t="n">
        <v>1.5</v>
      </c>
      <c r="H19" t="n">
        <v>2</v>
      </c>
      <c r="I19" t="n">
        <v>2</v>
      </c>
      <c r="J19" t="n">
        <v>0</v>
      </c>
      <c r="K19" t="n">
        <v>0</v>
      </c>
      <c r="L19" t="n">
        <v>1</v>
      </c>
      <c r="M19" t="n">
        <v>0</v>
      </c>
      <c r="N19" t="n">
        <v>0</v>
      </c>
      <c r="O19" t="n">
        <v>1</v>
      </c>
      <c r="P19" t="n">
        <v>1</v>
      </c>
      <c r="Q19" t="n">
        <v>4</v>
      </c>
      <c r="R19" s="2" t="inlineStr">
        <is>
          <t>Ask
Murgröna
Tvåblad
Blåsippa</t>
        </is>
      </c>
      <c r="S19">
        <f>HYPERLINK("https://klasma.github.io/Logging_0840/artfynd/A 54167-2024 artfynd.xlsx", "A 54167-2024")</f>
        <v/>
      </c>
      <c r="T19">
        <f>HYPERLINK("https://klasma.github.io/Logging_0840/kartor/A 54167-2024 karta.png", "A 54167-2024")</f>
        <v/>
      </c>
      <c r="V19">
        <f>HYPERLINK("https://klasma.github.io/Logging_0840/klagomål/A 54167-2024 FSC-klagomål.docx", "A 54167-2024")</f>
        <v/>
      </c>
      <c r="W19">
        <f>HYPERLINK("https://klasma.github.io/Logging_0840/klagomålsmail/A 54167-2024 FSC-klagomål mail.docx", "A 54167-2024")</f>
        <v/>
      </c>
      <c r="X19">
        <f>HYPERLINK("https://klasma.github.io/Logging_0840/tillsyn/A 54167-2024 tillsynsbegäran.docx", "A 54167-2024")</f>
        <v/>
      </c>
      <c r="Y19">
        <f>HYPERLINK("https://klasma.github.io/Logging_0840/tillsynsmail/A 54167-2024 tillsynsbegäran mail.docx", "A 54167-2024")</f>
        <v/>
      </c>
    </row>
    <row r="20" ht="15" customHeight="1">
      <c r="A20" t="inlineStr">
        <is>
          <t>A 52906-2021</t>
        </is>
      </c>
      <c r="B20" s="1" t="n">
        <v>44467</v>
      </c>
      <c r="C20" s="1" t="n">
        <v>45976</v>
      </c>
      <c r="D20" t="inlineStr">
        <is>
          <t>KALMAR LÄN</t>
        </is>
      </c>
      <c r="E20" t="inlineStr">
        <is>
          <t>MÖRBYLÅNGA</t>
        </is>
      </c>
      <c r="G20" t="n">
        <v>2.1</v>
      </c>
      <c r="H20" t="n">
        <v>2</v>
      </c>
      <c r="I20" t="n">
        <v>1</v>
      </c>
      <c r="J20" t="n">
        <v>2</v>
      </c>
      <c r="K20" t="n">
        <v>0</v>
      </c>
      <c r="L20" t="n">
        <v>0</v>
      </c>
      <c r="M20" t="n">
        <v>0</v>
      </c>
      <c r="N20" t="n">
        <v>0</v>
      </c>
      <c r="O20" t="n">
        <v>2</v>
      </c>
      <c r="P20" t="n">
        <v>0</v>
      </c>
      <c r="Q20" t="n">
        <v>3</v>
      </c>
      <c r="R20" s="2" t="inlineStr">
        <is>
          <t>Gulsparv
Rödvingetrast
Lindspindling</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c r="Z20">
        <f>HYPERLINK("https://klasma.github.io/Logging_0840/fåglar/A 52906-2021 prioriterade fågelarter.docx", "A 52906-2021")</f>
        <v/>
      </c>
    </row>
    <row r="21" ht="15" customHeight="1">
      <c r="A21" t="inlineStr">
        <is>
          <t>A 35242-2024</t>
        </is>
      </c>
      <c r="B21" s="1" t="n">
        <v>45530.55440972222</v>
      </c>
      <c r="C21" s="1" t="n">
        <v>45976</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40361-2023</t>
        </is>
      </c>
      <c r="B22" s="1" t="n">
        <v>45169</v>
      </c>
      <c r="C22" s="1" t="n">
        <v>45976</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45976</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15600-2025</t>
        </is>
      </c>
      <c r="B24" s="1" t="n">
        <v>45747</v>
      </c>
      <c r="C24" s="1" t="n">
        <v>45976</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54192-2021</t>
        </is>
      </c>
      <c r="B25" s="1" t="n">
        <v>44470</v>
      </c>
      <c r="C25" s="1" t="n">
        <v>45976</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45976</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19459-2023</t>
        </is>
      </c>
      <c r="B27" s="1" t="n">
        <v>45049</v>
      </c>
      <c r="C27" s="1" t="n">
        <v>45976</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43702-2025</t>
        </is>
      </c>
      <c r="B28" s="1" t="n">
        <v>45912.40270833333</v>
      </c>
      <c r="C28" s="1" t="n">
        <v>45976</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24698-2023</t>
        </is>
      </c>
      <c r="B29" s="1" t="n">
        <v>45084</v>
      </c>
      <c r="C29" s="1" t="n">
        <v>45976</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45976</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72167-2021</t>
        </is>
      </c>
      <c r="B31" s="1" t="n">
        <v>44544</v>
      </c>
      <c r="C31" s="1" t="n">
        <v>45976</v>
      </c>
      <c r="D31" t="inlineStr">
        <is>
          <t>KALMAR LÄN</t>
        </is>
      </c>
      <c r="E31" t="inlineStr">
        <is>
          <t>MÖRBYLÅNGA</t>
        </is>
      </c>
      <c r="G31" t="n">
        <v>3.5</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45976</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45976</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43704-2025</t>
        </is>
      </c>
      <c r="B34" s="1" t="n">
        <v>45912.40490740741</v>
      </c>
      <c r="C34" s="1" t="n">
        <v>45976</v>
      </c>
      <c r="D34" t="inlineStr">
        <is>
          <t>KALMAR LÄN</t>
        </is>
      </c>
      <c r="E34" t="inlineStr">
        <is>
          <t>MÖRBYLÅNGA</t>
        </is>
      </c>
      <c r="G34" t="n">
        <v>2.7</v>
      </c>
      <c r="H34" t="n">
        <v>0</v>
      </c>
      <c r="I34" t="n">
        <v>0</v>
      </c>
      <c r="J34" t="n">
        <v>0</v>
      </c>
      <c r="K34" t="n">
        <v>0</v>
      </c>
      <c r="L34" t="n">
        <v>0</v>
      </c>
      <c r="M34" t="n">
        <v>0</v>
      </c>
      <c r="N34" t="n">
        <v>0</v>
      </c>
      <c r="O34" t="n">
        <v>0</v>
      </c>
      <c r="P34" t="n">
        <v>0</v>
      </c>
      <c r="Q34" t="n">
        <v>0</v>
      </c>
      <c r="R34" s="2" t="inlineStr"/>
    </row>
    <row r="35">
      <c r="A35" t="inlineStr">
        <is>
          <t>A 13384-2023</t>
        </is>
      </c>
      <c r="B35" s="1" t="n">
        <v>45005</v>
      </c>
      <c r="C35" s="1" t="n">
        <v>45976</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2025-11-15T10:10:51Z</dcterms:created>
  <dcterms:modified xmlns:dcterms="http://purl.org/dc/terms/" xmlns:xsi="http://www.w3.org/2001/XMLSchema-instance" xsi:type="dcterms:W3CDTF">2025-11-15T10:10:51Z</dcterms:modified>
</cp:coreProperties>
</file>