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46326</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46326</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46326</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46326</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46326</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46326</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46326</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46326</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46326</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46326</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46326</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46326</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46326</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46326</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46326</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46326</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46326</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46326</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A 15600-2025</t>
        </is>
      </c>
      <c r="B20" t="inlineStr">
        <is>
          <t>avverkningsanmälan</t>
        </is>
      </c>
      <c r="C20" t="inlineStr">
        <is>
          <t>Avverkning för annat ändamål</t>
        </is>
      </c>
      <c r="D20" s="1" t="n">
        <v>45747</v>
      </c>
      <c r="E20" s="1" t="n">
        <v>46326</v>
      </c>
      <c r="F20" t="inlineStr">
        <is>
          <t>KALMAR LÄN</t>
        </is>
      </c>
      <c r="G20" t="inlineStr">
        <is>
          <t>MÖRBYLÅNGA</t>
        </is>
      </c>
      <c r="I20" t="n">
        <v>1.1</v>
      </c>
      <c r="J20" t="n">
        <v>3</v>
      </c>
      <c r="K20" t="n">
        <v>4</v>
      </c>
      <c r="L20" t="n">
        <v>0</v>
      </c>
      <c r="M20" t="n">
        <v>0</v>
      </c>
      <c r="N20" t="n">
        <v>1</v>
      </c>
      <c r="O20" t="n">
        <v>0</v>
      </c>
      <c r="P20" t="n">
        <v>0</v>
      </c>
      <c r="Q20" t="n">
        <v>1</v>
      </c>
      <c r="R20" t="n">
        <v>1</v>
      </c>
      <c r="S20" t="n">
        <v>10</v>
      </c>
      <c r="T20" t="n">
        <v>20</v>
      </c>
      <c r="U20" t="n">
        <v>18</v>
      </c>
      <c r="V20" s="2" t="inlineStr">
        <is>
          <t>Ask
Kragjordstjärna
Murgröna
Scharlakansvårskål agg.
Tibast
Blåsippa
Skärmstarr
Spillkråka
Storrams
Röd glada</t>
        </is>
      </c>
      <c r="W20">
        <f>HYPERLINK("https://klasma.github.io/Logging_0840/artfynd/A 15600-2025 artfynd.xlsx", "A 15600-2025")</f>
        <v/>
      </c>
      <c r="X20">
        <f>HYPERLINK("https://klasma.github.io/Logging_0840/kartor/A 15600-2025 karta.png", "A 15600-2025")</f>
        <v/>
      </c>
      <c r="Y20">
        <f>HYPERLINK("https://klasma.github.io/Logging_0840/kartor_geotiff/A 15600-2025 georefererad karta.tif", "A 15600-2025")</f>
        <v/>
      </c>
      <c r="AA20">
        <f>HYPERLINK("https://klasma.github.io/Logging_0840/klagomål/A 15600-2025 FSC-klagomål.docx", "A 15600-2025")</f>
        <v/>
      </c>
      <c r="AB20">
        <f>HYPERLINK("https://klasma.github.io/Logging_0840/klagomålsmail/A 15600-2025 FSC-klagomål mail.docx", "A 15600-2025")</f>
        <v/>
      </c>
      <c r="AC20">
        <f>HYPERLINK("https://klasma.github.io/Logging_0840/tillsyn/A 15600-2025 tillsynsbegäran.docx", "A 15600-2025")</f>
        <v/>
      </c>
      <c r="AD20">
        <f>HYPERLINK("https://klasma.github.io/Logging_0840/tillsynsmail/A 15600-2025 tillsynsbegäran mail.docx", "A 15600-2025")</f>
        <v/>
      </c>
      <c r="AE20">
        <f>HYPERLINK("https://klasma.github.io/Logging_0840/fåglar/A 15600-2025 prioriterade fågelarter.docx", "A 15600-2025")</f>
        <v/>
      </c>
    </row>
    <row r="21" ht="15" customHeight="1">
      <c r="A21" t="inlineStr">
        <is>
          <t>S 1122-2022</t>
        </is>
      </c>
      <c r="B21" t="inlineStr">
        <is>
          <t>samrådsanmälan</t>
        </is>
      </c>
      <c r="C21" t="inlineStr">
        <is>
          <t>Annan skogsbruksåtgärd</t>
        </is>
      </c>
      <c r="D21" s="1" t="n">
        <v>44616</v>
      </c>
      <c r="E21" s="1" t="n">
        <v>46326</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46326</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46326</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46326</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46326</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46326</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43704-2025</t>
        </is>
      </c>
      <c r="B27" t="inlineStr">
        <is>
          <t>avverkningsanmälan</t>
        </is>
      </c>
      <c r="C27" t="inlineStr">
        <is>
          <t>Föryngringsavverkning</t>
        </is>
      </c>
      <c r="D27" s="1" t="n">
        <v>45912</v>
      </c>
      <c r="E27" s="1" t="n">
        <v>46326</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A 43714-2025</t>
        </is>
      </c>
      <c r="B28" t="inlineStr">
        <is>
          <t>avverkningsanmälan</t>
        </is>
      </c>
      <c r="C28" t="inlineStr">
        <is>
          <t>Föryngringsavverkning</t>
        </is>
      </c>
      <c r="D28" s="1" t="n">
        <v>45912</v>
      </c>
      <c r="E28" s="1" t="n">
        <v>46326</v>
      </c>
      <c r="F28" t="inlineStr">
        <is>
          <t>KALMAR LÄN</t>
        </is>
      </c>
      <c r="G28" t="inlineStr">
        <is>
          <t>MÖRBYLÅNGA</t>
        </is>
      </c>
      <c r="I28" t="n">
        <v>7.9</v>
      </c>
      <c r="J28" t="n">
        <v>1</v>
      </c>
      <c r="K28" t="n">
        <v>3</v>
      </c>
      <c r="L28" t="n">
        <v>1</v>
      </c>
      <c r="M28" t="n">
        <v>2</v>
      </c>
      <c r="N28" t="n">
        <v>0</v>
      </c>
      <c r="O28" t="n">
        <v>0</v>
      </c>
      <c r="P28" t="n">
        <v>0</v>
      </c>
      <c r="Q28" t="n">
        <v>3</v>
      </c>
      <c r="R28" t="n">
        <v>2</v>
      </c>
      <c r="S28" t="n">
        <v>6</v>
      </c>
      <c r="T28" t="n">
        <v>8</v>
      </c>
      <c r="U28" t="n">
        <v>2</v>
      </c>
      <c r="V28" s="2" t="inlineStr">
        <is>
          <t>Mindre bastardsvärmare
Sexfläckig bastardsvärmare
Grönsångare
Murgröna
Tibast
Trädporella</t>
        </is>
      </c>
      <c r="W28">
        <f>HYPERLINK("https://klasma.github.io/Logging_0840/artfynd/A 43714-2025 artfynd.xlsx", "A 43714-2025")</f>
        <v/>
      </c>
      <c r="X28">
        <f>HYPERLINK("https://klasma.github.io/Logging_0840/kartor/A 43714-2025 karta.png", "A 43714-2025")</f>
        <v/>
      </c>
      <c r="Y28">
        <f>HYPERLINK("https://klasma.github.io/Logging_0840/kartor_geotiff/A 43714-2025 georefererad karta.tif", "A 43714-2025")</f>
        <v/>
      </c>
      <c r="AA28">
        <f>HYPERLINK("https://klasma.github.io/Logging_0840/klagomål/A 43714-2025 FSC-klagomål.docx", "A 43714-2025")</f>
        <v/>
      </c>
      <c r="AB28">
        <f>HYPERLINK("https://klasma.github.io/Logging_0840/klagomålsmail/A 43714-2025 FSC-klagomål mail.docx", "A 43714-2025")</f>
        <v/>
      </c>
      <c r="AC28">
        <f>HYPERLINK("https://klasma.github.io/Logging_0840/tillsyn/A 43714-2025 tillsynsbegäran.docx", "A 43714-2025")</f>
        <v/>
      </c>
      <c r="AD28">
        <f>HYPERLINK("https://klasma.github.io/Logging_0840/tillsynsmail/A 43714-2025 tillsynsbegäran mail.docx", "A 43714-2025")</f>
        <v/>
      </c>
      <c r="AE28">
        <f>HYPERLINK("https://klasma.github.io/Logging_0840/fåglar/A 43714-2025 prioriterade fågelarter.docx", "A 43714-2025")</f>
        <v/>
      </c>
    </row>
    <row r="29" ht="15" customHeight="1">
      <c r="A29" t="inlineStr">
        <is>
          <t>S 1814-2026</t>
        </is>
      </c>
      <c r="B29" t="inlineStr">
        <is>
          <t>samrådsanmälan</t>
        </is>
      </c>
      <c r="C29" t="inlineStr">
        <is>
          <t>Annan skogsbruksåtgärd</t>
        </is>
      </c>
      <c r="D29" s="1" t="n">
        <v>46190</v>
      </c>
      <c r="E29" s="1" t="n">
        <v>46326</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46326</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46326</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46326</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46326</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46326</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46326</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46326</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46326</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62231-2023</t>
        </is>
      </c>
      <c r="B38" t="inlineStr">
        <is>
          <t>avverkningsanmälan</t>
        </is>
      </c>
      <c r="C38" t="inlineStr">
        <is>
          <t>Avverkning för annat ändamål</t>
        </is>
      </c>
      <c r="D38" s="1" t="n">
        <v>45267</v>
      </c>
      <c r="E38" s="1" t="n">
        <v>46326</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46326</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46326</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24698-2023</t>
        </is>
      </c>
      <c r="B41" t="inlineStr">
        <is>
          <t>avverkningsanmälan</t>
        </is>
      </c>
      <c r="C41" t="inlineStr">
        <is>
          <t>Föryngringsavverkning</t>
        </is>
      </c>
      <c r="D41" s="1" t="n">
        <v>45084</v>
      </c>
      <c r="E41" s="1" t="n">
        <v>46326</v>
      </c>
      <c r="F41" t="inlineStr">
        <is>
          <t>KALMAR LÄN</t>
        </is>
      </c>
      <c r="G41" t="inlineStr">
        <is>
          <t>MÖRBYLÅNGA</t>
        </is>
      </c>
      <c r="I41" t="n">
        <v>5.5</v>
      </c>
      <c r="J41" t="n">
        <v>0</v>
      </c>
      <c r="K41" t="n">
        <v>0</v>
      </c>
      <c r="L41" t="n">
        <v>1</v>
      </c>
      <c r="M41" t="n">
        <v>0</v>
      </c>
      <c r="N41" t="n">
        <v>0</v>
      </c>
      <c r="O41" t="n">
        <v>0</v>
      </c>
      <c r="P41" t="n">
        <v>0</v>
      </c>
      <c r="Q41" t="n">
        <v>1</v>
      </c>
      <c r="R41" t="n">
        <v>0</v>
      </c>
      <c r="S41" t="n">
        <v>1</v>
      </c>
      <c r="T41" t="n">
        <v>1</v>
      </c>
      <c r="U41" t="n">
        <v>1</v>
      </c>
      <c r="V41" s="2" t="inlineStr">
        <is>
          <t>Sårläka</t>
        </is>
      </c>
      <c r="W41">
        <f>HYPERLINK("https://klasma.github.io/Logging_0840/artfynd/A 24698-2023 artfynd.xlsx", "A 24698-2023")</f>
        <v/>
      </c>
      <c r="X41">
        <f>HYPERLINK("https://klasma.github.io/Logging_0840/kartor/A 24698-2023 karta.png", "A 24698-2023")</f>
        <v/>
      </c>
      <c r="Y41">
        <f>HYPERLINK("https://klasma.github.io/Logging_0840/kartor_geotiff/A 24698-2023 georefererad karta.tif", "A 24698-2023")</f>
        <v/>
      </c>
      <c r="AA41">
        <f>HYPERLINK("https://klasma.github.io/Logging_0840/klagomål/A 24698-2023 FSC-klagomål.docx", "A 24698-2023")</f>
        <v/>
      </c>
      <c r="AB41">
        <f>HYPERLINK("https://klasma.github.io/Logging_0840/klagomålsmail/A 24698-2023 FSC-klagomål mail.docx", "A 24698-2023")</f>
        <v/>
      </c>
      <c r="AC41">
        <f>HYPERLINK("https://klasma.github.io/Logging_0840/tillsyn/A 24698-2023 tillsynsbegäran.docx", "A 24698-2023")</f>
        <v/>
      </c>
      <c r="AD41">
        <f>HYPERLINK("https://klasma.github.io/Logging_0840/tillsynsmail/A 24698-2023 tillsynsbegäran mail.docx", "A 24698-2023")</f>
        <v/>
      </c>
    </row>
    <row r="42" ht="15" customHeight="1">
      <c r="A42" t="inlineStr">
        <is>
          <t>A 62183-2025</t>
        </is>
      </c>
      <c r="B42" t="inlineStr">
        <is>
          <t>avverkningsanmälan</t>
        </is>
      </c>
      <c r="C42" t="inlineStr">
        <is>
          <t>Föryngringsavverkning</t>
        </is>
      </c>
      <c r="D42" s="1" t="n">
        <v>46006</v>
      </c>
      <c r="E42" s="1" t="n">
        <v>46326</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13040-2024</t>
        </is>
      </c>
      <c r="B43" t="inlineStr">
        <is>
          <t>avverkningsanmälan</t>
        </is>
      </c>
      <c r="C43" t="inlineStr">
        <is>
          <t>Avverkning för annat ändamål</t>
        </is>
      </c>
      <c r="D43" s="1" t="n">
        <v>45385</v>
      </c>
      <c r="E43" s="1" t="n">
        <v>46326</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46326</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46326</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46326</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46326</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46326</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43693-2026</t>
        </is>
      </c>
      <c r="B49" t="inlineStr">
        <is>
          <t>avverkningsanmälan</t>
        </is>
      </c>
      <c r="C49" t="inlineStr">
        <is>
          <t>Föryngringsavverkning</t>
        </is>
      </c>
      <c r="D49" s="1" t="n">
        <v>46316</v>
      </c>
      <c r="E49" s="1" t="n">
        <v>46326</v>
      </c>
      <c r="F49" t="inlineStr">
        <is>
          <t>KALMAR LÄN</t>
        </is>
      </c>
      <c r="G49" t="inlineStr">
        <is>
          <t>MÖRBYLÅNGA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43698-2026</t>
        </is>
      </c>
      <c r="B50" t="inlineStr">
        <is>
          <t>avverkningsanmälan</t>
        </is>
      </c>
      <c r="C50" t="inlineStr">
        <is>
          <t>Föryngringsavverkning</t>
        </is>
      </c>
      <c r="D50" s="1" t="n">
        <v>46316</v>
      </c>
      <c r="E50" s="1" t="n">
        <v>46326</v>
      </c>
      <c r="F50" t="inlineStr">
        <is>
          <t>KALMAR LÄN</t>
        </is>
      </c>
      <c r="G50" t="inlineStr">
        <is>
          <t>MÖRBYLÅNGA</t>
        </is>
      </c>
      <c r="I50" t="n">
        <v>0.7</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46326</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2026-10-31T03:22:37Z</dcterms:created>
  <dcterms:modified xmlns:dcterms="http://purl.org/dc/terms/" xmlns:xsi="http://www.w3.org/2001/XMLSchema-instance" xsi:type="dcterms:W3CDTF">2026-10-31T03:22:37Z</dcterms:modified>
</cp:coreProperties>
</file>