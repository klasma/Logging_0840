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46120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46120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27865-2024</t>
        </is>
      </c>
      <c r="B4" s="1" t="n">
        <v>45475.67303240741</v>
      </c>
      <c r="C4" s="1" t="n">
        <v>46120</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agg.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21219-2023</t>
        </is>
      </c>
      <c r="B5" s="1" t="n">
        <v>45062</v>
      </c>
      <c r="C5" s="1" t="n">
        <v>46120</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21214-2023</t>
        </is>
      </c>
      <c r="B6" s="1" t="n">
        <v>45062</v>
      </c>
      <c r="C6" s="1" t="n">
        <v>46120</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46120</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46120</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46120</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46120</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46120</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39320-2024</t>
        </is>
      </c>
      <c r="B12" s="1" t="n">
        <v>45551</v>
      </c>
      <c r="C12" s="1" t="n">
        <v>46120</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46120</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60875-2025</t>
        </is>
      </c>
      <c r="B14" s="1" t="n">
        <v>45999.55524305555</v>
      </c>
      <c r="C14" s="1" t="n">
        <v>46120</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46120</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46120</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2864-2026</t>
        </is>
      </c>
      <c r="B17" s="1" t="n">
        <v>46038</v>
      </c>
      <c r="C17" s="1" t="n">
        <v>46120</v>
      </c>
      <c r="D17" t="inlineStr">
        <is>
          <t>KALMAR LÄN</t>
        </is>
      </c>
      <c r="E17" t="inlineStr">
        <is>
          <t>MÖRBYLÅNGA</t>
        </is>
      </c>
      <c r="G17" t="n">
        <v>1</v>
      </c>
      <c r="H17" t="n">
        <v>2</v>
      </c>
      <c r="I17" t="n">
        <v>1</v>
      </c>
      <c r="J17" t="n">
        <v>1</v>
      </c>
      <c r="K17" t="n">
        <v>0</v>
      </c>
      <c r="L17" t="n">
        <v>0</v>
      </c>
      <c r="M17" t="n">
        <v>0</v>
      </c>
      <c r="N17" t="n">
        <v>0</v>
      </c>
      <c r="O17" t="n">
        <v>1</v>
      </c>
      <c r="P17" t="n">
        <v>0</v>
      </c>
      <c r="Q17" t="n">
        <v>3</v>
      </c>
      <c r="R17" s="2" t="inlineStr">
        <is>
          <t>Spillkråka
Mindre märgborre
Blåsippa</t>
        </is>
      </c>
      <c r="S17">
        <f>HYPERLINK("https://klasma.github.io/Logging_0840/artfynd/A 2864-2026 artfynd.xlsx", "A 2864-2026")</f>
        <v/>
      </c>
      <c r="T17">
        <f>HYPERLINK("https://klasma.github.io/Logging_0840/kartor/A 2864-2026 karta.png", "A 2864-2026")</f>
        <v/>
      </c>
      <c r="V17">
        <f>HYPERLINK("https://klasma.github.io/Logging_0840/klagomål/A 2864-2026 FSC-klagomål.docx", "A 2864-2026")</f>
        <v/>
      </c>
      <c r="W17">
        <f>HYPERLINK("https://klasma.github.io/Logging_0840/klagomålsmail/A 2864-2026 FSC-klagomål mail.docx", "A 2864-2026")</f>
        <v/>
      </c>
      <c r="X17">
        <f>HYPERLINK("https://klasma.github.io/Logging_0840/tillsyn/A 2864-2026 tillsynsbegäran.docx", "A 2864-2026")</f>
        <v/>
      </c>
      <c r="Y17">
        <f>HYPERLINK("https://klasma.github.io/Logging_0840/tillsynsmail/A 2864-2026 tillsynsbegäran mail.docx", "A 2864-2026")</f>
        <v/>
      </c>
      <c r="Z17">
        <f>HYPERLINK("https://klasma.github.io/Logging_0840/fåglar/A 2864-2026 prioriterade fågelarter.docx", "A 2864-2026")</f>
        <v/>
      </c>
    </row>
    <row r="18" ht="15" customHeight="1">
      <c r="A18" t="inlineStr">
        <is>
          <t>A 61963-2025</t>
        </is>
      </c>
      <c r="B18" s="1" t="n">
        <v>46003</v>
      </c>
      <c r="C18" s="1" t="n">
        <v>46120</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35242-2024</t>
        </is>
      </c>
      <c r="B19" s="1" t="n">
        <v>45530.55440972222</v>
      </c>
      <c r="C19" s="1" t="n">
        <v>46120</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46120</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46120</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46120</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46120</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46120</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46120</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46120</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46120</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46120</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46120</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46120</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46120</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5733-2026</t>
        </is>
      </c>
      <c r="B32" s="1" t="n">
        <v>46051.5745949074</v>
      </c>
      <c r="C32" s="1" t="n">
        <v>46120</v>
      </c>
      <c r="D32" t="inlineStr">
        <is>
          <t>KALMAR LÄN</t>
        </is>
      </c>
      <c r="E32" t="inlineStr">
        <is>
          <t>MÖRBYLÅNGA</t>
        </is>
      </c>
      <c r="G32" t="n">
        <v>1.1</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46120</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57407-2025</t>
        </is>
      </c>
      <c r="B34" s="1" t="n">
        <v>45980.44351851852</v>
      </c>
      <c r="C34" s="1" t="n">
        <v>46120</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46120</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62183-2025</t>
        </is>
      </c>
      <c r="B36" s="1" t="n">
        <v>46006.5356712963</v>
      </c>
      <c r="C36" s="1" t="n">
        <v>46120</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2026-04-08T10:47:14Z</dcterms:created>
  <dcterms:modified xmlns:dcterms="http://purl.org/dc/terms/" xmlns:xsi="http://www.w3.org/2001/XMLSchema-instance" xsi:type="dcterms:W3CDTF">2026-04-08T10:47:14Z</dcterms:modified>
</cp:coreProperties>
</file>