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45877</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45877</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45877</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45877</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45877</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45877</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45877</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45877</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45877</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45877</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45877</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45877</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45877</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45877</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45877</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45877</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28723-2024</t>
        </is>
      </c>
      <c r="B18" s="1" t="n">
        <v>45478</v>
      </c>
      <c r="C18" s="1" t="n">
        <v>45877</v>
      </c>
      <c r="D18" t="inlineStr">
        <is>
          <t>KALMAR LÄN</t>
        </is>
      </c>
      <c r="E18" t="inlineStr">
        <is>
          <t>MÖRBYLÅNGA</t>
        </is>
      </c>
      <c r="G18" t="n">
        <v>4</v>
      </c>
      <c r="H18" t="n">
        <v>1</v>
      </c>
      <c r="I18" t="n">
        <v>2</v>
      </c>
      <c r="J18" t="n">
        <v>0</v>
      </c>
      <c r="K18" t="n">
        <v>1</v>
      </c>
      <c r="L18" t="n">
        <v>2</v>
      </c>
      <c r="M18" t="n">
        <v>0</v>
      </c>
      <c r="N18" t="n">
        <v>0</v>
      </c>
      <c r="O18" t="n">
        <v>3</v>
      </c>
      <c r="P18" t="n">
        <v>3</v>
      </c>
      <c r="Q18" t="n">
        <v>6</v>
      </c>
      <c r="R18" s="2" t="inlineStr">
        <is>
          <t>Naveljordstjärna
Ryl
Liten diskröksvamp
Grönpyrola
Murgröna
Blåsippa</t>
        </is>
      </c>
      <c r="S18">
        <f>HYPERLINK("https://klasma.github.io/Logging_0840/artfynd/A 28723-2024 artfynd.xlsx", "A 28723-2024")</f>
        <v/>
      </c>
      <c r="T18">
        <f>HYPERLINK("https://klasma.github.io/Logging_0840/kartor/A 28723-2024 karta.png", "A 28723-2024")</f>
        <v/>
      </c>
      <c r="U18">
        <f>HYPERLINK("https://klasma.github.io/Logging_0840/knärot/A 28723-2024 karta knärot.png", "A 28723-2024")</f>
        <v/>
      </c>
      <c r="V18">
        <f>HYPERLINK("https://klasma.github.io/Logging_0840/klagomål/A 28723-2024 FSC-klagomål.docx", "A 28723-2024")</f>
        <v/>
      </c>
      <c r="W18">
        <f>HYPERLINK("https://klasma.github.io/Logging_0840/klagomålsmail/A 28723-2024 FSC-klagomål mail.docx", "A 28723-2024")</f>
        <v/>
      </c>
      <c r="X18">
        <f>HYPERLINK("https://klasma.github.io/Logging_0840/tillsyn/A 28723-2024 tillsynsbegäran.docx", "A 28723-2024")</f>
        <v/>
      </c>
      <c r="Y18">
        <f>HYPERLINK("https://klasma.github.io/Logging_0840/tillsynsmail/A 28723-2024 tillsynsbegäran mail.docx", "A 28723-2024")</f>
        <v/>
      </c>
    </row>
    <row r="19" ht="15" customHeight="1">
      <c r="A19" t="inlineStr">
        <is>
          <t>A 55589-2019</t>
        </is>
      </c>
      <c r="B19" s="1" t="n">
        <v>43760</v>
      </c>
      <c r="C19" s="1" t="n">
        <v>45877</v>
      </c>
      <c r="D19" t="inlineStr">
        <is>
          <t>KALMAR LÄN</t>
        </is>
      </c>
      <c r="E19" t="inlineStr">
        <is>
          <t>MÖRBYLÅNGA</t>
        </is>
      </c>
      <c r="G19" t="n">
        <v>1.3</v>
      </c>
      <c r="H19" t="n">
        <v>4</v>
      </c>
      <c r="I19" t="n">
        <v>0</v>
      </c>
      <c r="J19" t="n">
        <v>3</v>
      </c>
      <c r="K19" t="n">
        <v>1</v>
      </c>
      <c r="L19" t="n">
        <v>1</v>
      </c>
      <c r="M19" t="n">
        <v>0</v>
      </c>
      <c r="N19" t="n">
        <v>0</v>
      </c>
      <c r="O19" t="n">
        <v>5</v>
      </c>
      <c r="P19" t="n">
        <v>2</v>
      </c>
      <c r="Q19" t="n">
        <v>5</v>
      </c>
      <c r="R19" s="2" t="inlineStr">
        <is>
          <t>Ask
Stare
Gulsparv
Svartvit flugsnappare
Ärtsångare</t>
        </is>
      </c>
      <c r="S19">
        <f>HYPERLINK("https://klasma.github.io/Logging_0840/artfynd/A 55589-2019 artfynd.xlsx", "A 55589-2019")</f>
        <v/>
      </c>
      <c r="T19">
        <f>HYPERLINK("https://klasma.github.io/Logging_0840/kartor/A 55589-2019 karta.png", "A 55589-2019")</f>
        <v/>
      </c>
      <c r="V19">
        <f>HYPERLINK("https://klasma.github.io/Logging_0840/klagomål/A 55589-2019 FSC-klagomål.docx", "A 55589-2019")</f>
        <v/>
      </c>
      <c r="W19">
        <f>HYPERLINK("https://klasma.github.io/Logging_0840/klagomålsmail/A 55589-2019 FSC-klagomål mail.docx", "A 55589-2019")</f>
        <v/>
      </c>
      <c r="X19">
        <f>HYPERLINK("https://klasma.github.io/Logging_0840/tillsyn/A 55589-2019 tillsynsbegäran.docx", "A 55589-2019")</f>
        <v/>
      </c>
      <c r="Y19">
        <f>HYPERLINK("https://klasma.github.io/Logging_0840/tillsynsmail/A 55589-2019 tillsynsbegäran mail.docx", "A 55589-2019")</f>
        <v/>
      </c>
      <c r="Z19">
        <f>HYPERLINK("https://klasma.github.io/Logging_0840/fåglar/A 55589-2019 prioriterade fågelarter.docx", "A 55589-2019")</f>
        <v/>
      </c>
    </row>
    <row r="20" ht="15" customHeight="1">
      <c r="A20" t="inlineStr">
        <is>
          <t>A 39320-2024</t>
        </is>
      </c>
      <c r="B20" s="1" t="n">
        <v>45551</v>
      </c>
      <c r="C20" s="1" t="n">
        <v>45877</v>
      </c>
      <c r="D20" t="inlineStr">
        <is>
          <t>KALMAR LÄN</t>
        </is>
      </c>
      <c r="E20" t="inlineStr">
        <is>
          <t>MÖRBYLÅNGA</t>
        </is>
      </c>
      <c r="G20" t="n">
        <v>3.3</v>
      </c>
      <c r="H20" t="n">
        <v>1</v>
      </c>
      <c r="I20" t="n">
        <v>2</v>
      </c>
      <c r="J20" t="n">
        <v>1</v>
      </c>
      <c r="K20" t="n">
        <v>1</v>
      </c>
      <c r="L20" t="n">
        <v>0</v>
      </c>
      <c r="M20" t="n">
        <v>0</v>
      </c>
      <c r="N20" t="n">
        <v>0</v>
      </c>
      <c r="O20" t="n">
        <v>2</v>
      </c>
      <c r="P20" t="n">
        <v>1</v>
      </c>
      <c r="Q20" t="n">
        <v>5</v>
      </c>
      <c r="R20" s="2" t="inlineStr">
        <is>
          <t>Toppjungfrulin
Korskovall
Underviol
Vårärt
Skogsduva</t>
        </is>
      </c>
      <c r="S20">
        <f>HYPERLINK("https://klasma.github.io/Logging_0840/artfynd/A 39320-2024 artfynd.xlsx", "A 39320-2024")</f>
        <v/>
      </c>
      <c r="T20">
        <f>HYPERLINK("https://klasma.github.io/Logging_0840/kartor/A 39320-2024 karta.png", "A 39320-2024")</f>
        <v/>
      </c>
      <c r="V20">
        <f>HYPERLINK("https://klasma.github.io/Logging_0840/klagomål/A 39320-2024 FSC-klagomål.docx", "A 39320-2024")</f>
        <v/>
      </c>
      <c r="W20">
        <f>HYPERLINK("https://klasma.github.io/Logging_0840/klagomålsmail/A 39320-2024 FSC-klagomål mail.docx", "A 39320-2024")</f>
        <v/>
      </c>
      <c r="X20">
        <f>HYPERLINK("https://klasma.github.io/Logging_0840/tillsyn/A 39320-2024 tillsynsbegäran.docx", "A 39320-2024")</f>
        <v/>
      </c>
      <c r="Y20">
        <f>HYPERLINK("https://klasma.github.io/Logging_0840/tillsynsmail/A 39320-2024 tillsynsbegäran mail.docx", "A 39320-2024")</f>
        <v/>
      </c>
      <c r="Z20">
        <f>HYPERLINK("https://klasma.github.io/Logging_0840/fåglar/A 39320-2024 prioriterade fågelarter.docx", "A 39320-2024")</f>
        <v/>
      </c>
    </row>
    <row r="21" ht="15" customHeight="1">
      <c r="A21" t="inlineStr">
        <is>
          <t>A 61854-2020</t>
        </is>
      </c>
      <c r="B21" s="1" t="n">
        <v>44155</v>
      </c>
      <c r="C21" s="1" t="n">
        <v>45877</v>
      </c>
      <c r="D21" t="inlineStr">
        <is>
          <t>KALMAR LÄN</t>
        </is>
      </c>
      <c r="E21" t="inlineStr">
        <is>
          <t>MÖRBYLÅNGA</t>
        </is>
      </c>
      <c r="G21" t="n">
        <v>1.3</v>
      </c>
      <c r="H21" t="n">
        <v>1</v>
      </c>
      <c r="I21" t="n">
        <v>3</v>
      </c>
      <c r="J21" t="n">
        <v>0</v>
      </c>
      <c r="K21" t="n">
        <v>0</v>
      </c>
      <c r="L21" t="n">
        <v>0</v>
      </c>
      <c r="M21" t="n">
        <v>0</v>
      </c>
      <c r="N21" t="n">
        <v>0</v>
      </c>
      <c r="O21" t="n">
        <v>0</v>
      </c>
      <c r="P21" t="n">
        <v>0</v>
      </c>
      <c r="Q21" t="n">
        <v>4</v>
      </c>
      <c r="R21" s="2" t="inlineStr">
        <is>
          <t>Kalktallört
Murgröna
Scharlakansvårskål agg.
Blåsippa</t>
        </is>
      </c>
      <c r="S21">
        <f>HYPERLINK("https://klasma.github.io/Logging_0840/artfynd/A 61854-2020 artfynd.xlsx", "A 61854-2020")</f>
        <v/>
      </c>
      <c r="T21">
        <f>HYPERLINK("https://klasma.github.io/Logging_0840/kartor/A 61854-2020 karta.png", "A 61854-2020")</f>
        <v/>
      </c>
      <c r="V21">
        <f>HYPERLINK("https://klasma.github.io/Logging_0840/klagomål/A 61854-2020 FSC-klagomål.docx", "A 61854-2020")</f>
        <v/>
      </c>
      <c r="W21">
        <f>HYPERLINK("https://klasma.github.io/Logging_0840/klagomålsmail/A 61854-2020 FSC-klagomål mail.docx", "A 61854-2020")</f>
        <v/>
      </c>
      <c r="X21">
        <f>HYPERLINK("https://klasma.github.io/Logging_0840/tillsyn/A 61854-2020 tillsynsbegäran.docx", "A 61854-2020")</f>
        <v/>
      </c>
      <c r="Y21">
        <f>HYPERLINK("https://klasma.github.io/Logging_0840/tillsynsmail/A 61854-2020 tillsynsbegäran mail.docx", "A 61854-2020")</f>
        <v/>
      </c>
    </row>
    <row r="22" ht="15" customHeight="1">
      <c r="A22" t="inlineStr">
        <is>
          <t>A 40688-2023</t>
        </is>
      </c>
      <c r="B22" s="1" t="n">
        <v>45170</v>
      </c>
      <c r="C22" s="1" t="n">
        <v>45877</v>
      </c>
      <c r="D22" t="inlineStr">
        <is>
          <t>KALMAR LÄN</t>
        </is>
      </c>
      <c r="E22" t="inlineStr">
        <is>
          <t>MÖRBYLÅNGA</t>
        </is>
      </c>
      <c r="G22" t="n">
        <v>2.7</v>
      </c>
      <c r="H22" t="n">
        <v>4</v>
      </c>
      <c r="I22" t="n">
        <v>1</v>
      </c>
      <c r="J22" t="n">
        <v>0</v>
      </c>
      <c r="K22" t="n">
        <v>1</v>
      </c>
      <c r="L22" t="n">
        <v>0</v>
      </c>
      <c r="M22" t="n">
        <v>0</v>
      </c>
      <c r="N22" t="n">
        <v>0</v>
      </c>
      <c r="O22" t="n">
        <v>1</v>
      </c>
      <c r="P22" t="n">
        <v>1</v>
      </c>
      <c r="Q22" t="n">
        <v>4</v>
      </c>
      <c r="R22" s="2" t="inlineStr">
        <is>
          <t>Väddnätfjäril
Skogsknipprot
Vanlig snok
Ängsnycklar</t>
        </is>
      </c>
      <c r="S22">
        <f>HYPERLINK("https://klasma.github.io/Logging_0840/artfynd/A 40688-2023 artfynd.xlsx", "A 40688-2023")</f>
        <v/>
      </c>
      <c r="T22">
        <f>HYPERLINK("https://klasma.github.io/Logging_0840/kartor/A 40688-2023 karta.png", "A 40688-2023")</f>
        <v/>
      </c>
      <c r="V22">
        <f>HYPERLINK("https://klasma.github.io/Logging_0840/klagomål/A 40688-2023 FSC-klagomål.docx", "A 40688-2023")</f>
        <v/>
      </c>
      <c r="W22">
        <f>HYPERLINK("https://klasma.github.io/Logging_0840/klagomålsmail/A 40688-2023 FSC-klagomål mail.docx", "A 40688-2023")</f>
        <v/>
      </c>
      <c r="X22">
        <f>HYPERLINK("https://klasma.github.io/Logging_0840/tillsyn/A 40688-2023 tillsynsbegäran.docx", "A 40688-2023")</f>
        <v/>
      </c>
      <c r="Y22">
        <f>HYPERLINK("https://klasma.github.io/Logging_0840/tillsynsmail/A 40688-2023 tillsynsbegäran mail.docx", "A 40688-2023")</f>
        <v/>
      </c>
    </row>
    <row r="23" ht="15" customHeight="1">
      <c r="A23" t="inlineStr">
        <is>
          <t>A 54167-2024</t>
        </is>
      </c>
      <c r="B23" s="1" t="n">
        <v>45616</v>
      </c>
      <c r="C23" s="1" t="n">
        <v>45877</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45877</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45877</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45877</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45877</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45877</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45877</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45877</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45877</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45877</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45877</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45877</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45877</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45877</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45877</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45877</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45877</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45877</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45877</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45877</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45877</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45877</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45877</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45877</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45877</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45877</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45877</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45877</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45877</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45877</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45877</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45877</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45877</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45877</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45877</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45877</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45877</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45877</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45877</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45877</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2025-08-09T00:58:31Z</dcterms:created>
  <dcterms:modified xmlns:dcterms="http://purl.org/dc/terms/" xmlns:xsi="http://www.w3.org/2001/XMLSchema-instance" xsi:type="dcterms:W3CDTF">2025-08-09T00:58:31Z</dcterms:modified>
</cp:coreProperties>
</file>