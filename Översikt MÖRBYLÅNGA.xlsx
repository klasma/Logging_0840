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46275</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46275</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46275</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46275</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46275</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46275</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46275</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46275</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46275</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46275</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46275</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46275</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46275</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24778-2022</t>
        </is>
      </c>
      <c r="B15" t="inlineStr">
        <is>
          <t>avverkningsanmälan</t>
        </is>
      </c>
      <c r="C15" t="inlineStr">
        <is>
          <t>Föryngringsavverkning</t>
        </is>
      </c>
      <c r="D15" s="1" t="n">
        <v>44728</v>
      </c>
      <c r="E15" s="1" t="n">
        <v>46275</v>
      </c>
      <c r="F15" t="inlineStr">
        <is>
          <t>KALMAR LÄN</t>
        </is>
      </c>
      <c r="G15" t="inlineStr">
        <is>
          <t>MÖRBYLÅNGA</t>
        </is>
      </c>
      <c r="I15" t="n">
        <v>1</v>
      </c>
      <c r="J15" t="n">
        <v>1</v>
      </c>
      <c r="K15" t="n">
        <v>2</v>
      </c>
      <c r="L15" t="n">
        <v>7</v>
      </c>
      <c r="M15" t="n">
        <v>0</v>
      </c>
      <c r="N15" t="n">
        <v>1</v>
      </c>
      <c r="O15" t="n">
        <v>0</v>
      </c>
      <c r="P15" t="n">
        <v>0</v>
      </c>
      <c r="Q15" t="n">
        <v>8</v>
      </c>
      <c r="R15" t="n">
        <v>1</v>
      </c>
      <c r="S15" t="n">
        <v>11</v>
      </c>
      <c r="T15" t="n">
        <v>20</v>
      </c>
      <c r="U15" t="n">
        <v>20</v>
      </c>
      <c r="V15" s="2" t="inlineStr">
        <is>
          <t>Tofsäxing
Backtimjan
Flentimotej
Grådådra
Poppeltofsskivling
Slåtterfibbla
Sminkrot
Solvända
Kalktallört
Murgröna
Blåsippa</t>
        </is>
      </c>
      <c r="W15">
        <f>HYPERLINK("https://klasma.github.io/Logging_0840/artfynd/A 24778-2022 artfynd.xlsx", "A 24778-2022")</f>
        <v/>
      </c>
      <c r="X15">
        <f>HYPERLINK("https://klasma.github.io/Logging_0840/kartor/A 24778-2022 karta.png", "A 24778-2022")</f>
        <v/>
      </c>
      <c r="Y15">
        <f>HYPERLINK("https://klasma.github.io/Logging_0840/kartor_geotiff/A 24778-2022 georefererad karta.tif", "A 24778-2022")</f>
        <v/>
      </c>
      <c r="AA15">
        <f>HYPERLINK("https://klasma.github.io/Logging_0840/klagomål/A 24778-2022 FSC-klagomål.docx", "A 24778-2022")</f>
        <v/>
      </c>
      <c r="AB15">
        <f>HYPERLINK("https://klasma.github.io/Logging_0840/klagomålsmail/A 24778-2022 FSC-klagomål mail.docx", "A 24778-2022")</f>
        <v/>
      </c>
      <c r="AC15">
        <f>HYPERLINK("https://klasma.github.io/Logging_0840/tillsyn/A 24778-2022 tillsynsbegäran.docx", "A 24778-2022")</f>
        <v/>
      </c>
      <c r="AD15">
        <f>HYPERLINK("https://klasma.github.io/Logging_0840/tillsynsmail/A 24778-2022 tillsynsbegäran mail.docx", "A 24778-2022")</f>
        <v/>
      </c>
    </row>
    <row r="16" ht="15" customHeight="1">
      <c r="A16" t="inlineStr">
        <is>
          <t>A 60875-2025</t>
        </is>
      </c>
      <c r="B16" t="inlineStr">
        <is>
          <t>avverkningsanmälan</t>
        </is>
      </c>
      <c r="C16" t="inlineStr">
        <is>
          <t>Föryngringsavverkning</t>
        </is>
      </c>
      <c r="D16" s="1" t="n">
        <v>45999</v>
      </c>
      <c r="E16" s="1" t="n">
        <v>46275</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38039-2022</t>
        </is>
      </c>
      <c r="B17" t="inlineStr">
        <is>
          <t>avverkningsanmälan</t>
        </is>
      </c>
      <c r="C17" t="inlineStr">
        <is>
          <t>Avverkning för annat ändamål</t>
        </is>
      </c>
      <c r="D17" s="1" t="n">
        <v>44811</v>
      </c>
      <c r="E17" s="1" t="n">
        <v>46275</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46275</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46275</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46275</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46275</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46275</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46275</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46275</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46275</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46275</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46275</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46275</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46275</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46275</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46275</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46275</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46275</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46275</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51244-2021</t>
        </is>
      </c>
      <c r="B35" t="inlineStr">
        <is>
          <t>avverkningsanmälan</t>
        </is>
      </c>
      <c r="C35" t="inlineStr">
        <is>
          <t>Avverkning för att bevara och utveckla /försöksver</t>
        </is>
      </c>
      <c r="D35" s="1" t="n">
        <v>44460</v>
      </c>
      <c r="E35" s="1" t="n">
        <v>46275</v>
      </c>
      <c r="F35" t="inlineStr">
        <is>
          <t>KALMAR LÄN</t>
        </is>
      </c>
      <c r="G35" t="inlineStr">
        <is>
          <t>MÖRBYLÅNGA</t>
        </is>
      </c>
      <c r="I35" t="n">
        <v>1.9</v>
      </c>
      <c r="J35" t="n">
        <v>0</v>
      </c>
      <c r="K35" t="n">
        <v>0</v>
      </c>
      <c r="L35" t="n">
        <v>2</v>
      </c>
      <c r="M35" t="n">
        <v>1</v>
      </c>
      <c r="N35" t="n">
        <v>0</v>
      </c>
      <c r="O35" t="n">
        <v>0</v>
      </c>
      <c r="P35" t="n">
        <v>0</v>
      </c>
      <c r="Q35" t="n">
        <v>3</v>
      </c>
      <c r="R35" t="n">
        <v>1</v>
      </c>
      <c r="S35" t="n">
        <v>3</v>
      </c>
      <c r="T35" t="n">
        <v>4</v>
      </c>
      <c r="U35" t="n">
        <v>3</v>
      </c>
      <c r="V35" s="2" t="inlineStr">
        <is>
          <t>Stäppbandbi
Vittåtel
Älg</t>
        </is>
      </c>
      <c r="W35">
        <f>HYPERLINK("https://klasma.github.io/Logging_0840/artfynd/A 51244-2021 artfynd.xlsx", "A 51244-2021")</f>
        <v/>
      </c>
      <c r="X35">
        <f>HYPERLINK("https://klasma.github.io/Logging_0840/kartor/A 51244-2021 karta.png", "A 51244-2021")</f>
        <v/>
      </c>
      <c r="Y35">
        <f>HYPERLINK("https://klasma.github.io/Logging_0840/kartor_geotiff/A 51244-2021 georefererad karta.tif", "A 51244-2021")</f>
        <v/>
      </c>
      <c r="AA35">
        <f>HYPERLINK("https://klasma.github.io/Logging_0840/klagomål/A 51244-2021 FSC-klagomål.docx", "A 51244-2021")</f>
        <v/>
      </c>
      <c r="AB35">
        <f>HYPERLINK("https://klasma.github.io/Logging_0840/klagomålsmail/A 51244-2021 FSC-klagomål mail.docx", "A 51244-2021")</f>
        <v/>
      </c>
      <c r="AC35">
        <f>HYPERLINK("https://klasma.github.io/Logging_0840/tillsyn/A 51244-2021 tillsynsbegäran.docx", "A 51244-2021")</f>
        <v/>
      </c>
      <c r="AD35">
        <f>HYPERLINK("https://klasma.github.io/Logging_0840/tillsynsmail/A 51244-2021 tillsynsbegäran mail.docx", "A 51244-2021")</f>
        <v/>
      </c>
    </row>
    <row r="36" ht="15" customHeight="1">
      <c r="A36" t="inlineStr">
        <is>
          <t>A 15600-2025</t>
        </is>
      </c>
      <c r="B36" t="inlineStr">
        <is>
          <t>avverkningsanmälan</t>
        </is>
      </c>
      <c r="C36" t="inlineStr">
        <is>
          <t>Avverkning för annat ändamål</t>
        </is>
      </c>
      <c r="D36" s="1" t="n">
        <v>45747</v>
      </c>
      <c r="E36" s="1" t="n">
        <v>46275</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43702-2025</t>
        </is>
      </c>
      <c r="B37" t="inlineStr">
        <is>
          <t>avverkningsanmälan</t>
        </is>
      </c>
      <c r="C37" t="inlineStr">
        <is>
          <t>Föryngringsavverkning</t>
        </is>
      </c>
      <c r="D37" s="1" t="n">
        <v>45912</v>
      </c>
      <c r="E37" s="1" t="n">
        <v>46275</v>
      </c>
      <c r="F37" t="inlineStr">
        <is>
          <t>KALMAR LÄN</t>
        </is>
      </c>
      <c r="G37" t="inlineStr">
        <is>
          <t>MÖRBYLÅNGA</t>
        </is>
      </c>
      <c r="I37" t="n">
        <v>2.6</v>
      </c>
      <c r="J37" t="n">
        <v>0</v>
      </c>
      <c r="K37" t="n">
        <v>2</v>
      </c>
      <c r="L37" t="n">
        <v>1</v>
      </c>
      <c r="M37" t="n">
        <v>0</v>
      </c>
      <c r="N37" t="n">
        <v>0</v>
      </c>
      <c r="O37" t="n">
        <v>0</v>
      </c>
      <c r="P37" t="n">
        <v>0</v>
      </c>
      <c r="Q37" t="n">
        <v>1</v>
      </c>
      <c r="R37" t="n">
        <v>0</v>
      </c>
      <c r="S37" t="n">
        <v>3</v>
      </c>
      <c r="T37" t="n">
        <v>3</v>
      </c>
      <c r="U37" t="n">
        <v>2</v>
      </c>
      <c r="V37" s="2" t="inlineStr">
        <is>
          <t>Sårläka
Murgröna
Tibast</t>
        </is>
      </c>
      <c r="W37">
        <f>HYPERLINK("https://klasma.github.io/Logging_0840/artfynd/A 43702-2025 artfynd.xlsx", "A 43702-2025")</f>
        <v/>
      </c>
      <c r="X37">
        <f>HYPERLINK("https://klasma.github.io/Logging_0840/kartor/A 43702-2025 karta.png", "A 43702-2025")</f>
        <v/>
      </c>
      <c r="Y37">
        <f>HYPERLINK("https://klasma.github.io/Logging_0840/kartor_geotiff/A 43702-2025 georefererad karta.tif", "A 43702-2025")</f>
        <v/>
      </c>
      <c r="AA37">
        <f>HYPERLINK("https://klasma.github.io/Logging_0840/klagomål/A 43702-2025 FSC-klagomål.docx", "A 43702-2025")</f>
        <v/>
      </c>
      <c r="AB37">
        <f>HYPERLINK("https://klasma.github.io/Logging_0840/klagomålsmail/A 43702-2025 FSC-klagomål mail.docx", "A 43702-2025")</f>
        <v/>
      </c>
      <c r="AC37">
        <f>HYPERLINK("https://klasma.github.io/Logging_0840/tillsyn/A 43702-2025 tillsynsbegäran.docx", "A 43702-2025")</f>
        <v/>
      </c>
      <c r="AD37">
        <f>HYPERLINK("https://klasma.github.io/Logging_0840/tillsynsmail/A 43702-2025 tillsynsbegäran mail.docx", "A 43702-2025")</f>
        <v/>
      </c>
    </row>
    <row r="38" ht="15" customHeight="1">
      <c r="A38" t="inlineStr">
        <is>
          <t>A 29360-2026</t>
        </is>
      </c>
      <c r="B38" t="inlineStr">
        <is>
          <t>avverkningsanmälan</t>
        </is>
      </c>
      <c r="C38" t="inlineStr">
        <is>
          <t>Avverkning för annat ändamål</t>
        </is>
      </c>
      <c r="D38" s="1" t="n">
        <v>46203</v>
      </c>
      <c r="E38" s="1" t="n">
        <v>46275</v>
      </c>
      <c r="F38" t="inlineStr">
        <is>
          <t>KALMAR LÄN</t>
        </is>
      </c>
      <c r="G38" t="inlineStr">
        <is>
          <t>MÖRBYLÅNGA</t>
        </is>
      </c>
      <c r="I38" t="n">
        <v>2.9</v>
      </c>
      <c r="J38" t="n">
        <v>1</v>
      </c>
      <c r="K38" t="n">
        <v>1</v>
      </c>
      <c r="L38" t="n">
        <v>1</v>
      </c>
      <c r="M38" t="n">
        <v>1</v>
      </c>
      <c r="N38" t="n">
        <v>0</v>
      </c>
      <c r="O38" t="n">
        <v>0</v>
      </c>
      <c r="P38" t="n">
        <v>0</v>
      </c>
      <c r="Q38" t="n">
        <v>2</v>
      </c>
      <c r="R38" t="n">
        <v>1</v>
      </c>
      <c r="S38" t="n">
        <v>3</v>
      </c>
      <c r="T38" t="n">
        <v>3</v>
      </c>
      <c r="U38" t="n">
        <v>1</v>
      </c>
      <c r="V38" s="2" t="inlineStr">
        <is>
          <t>Mindre blåvinge
Silversmygare
Ekoxe</t>
        </is>
      </c>
      <c r="W38">
        <f>HYPERLINK("https://klasma.github.io/Logging_0840/artfynd/A 29360-2026 artfynd.xlsx", "A 29360-2026")</f>
        <v/>
      </c>
      <c r="X38">
        <f>HYPERLINK("https://klasma.github.io/Logging_0840/kartor/A 29360-2026 karta.png", "A 29360-2026")</f>
        <v/>
      </c>
      <c r="Y38">
        <f>HYPERLINK("https://klasma.github.io/Logging_0840/kartor_geotiff/A 29360-2026 georefererad karta.tif", "A 29360-2026")</f>
        <v/>
      </c>
      <c r="AA38">
        <f>HYPERLINK("https://klasma.github.io/Logging_0840/klagomål/A 29360-2026 FSC-klagomål.docx", "A 29360-2026")</f>
        <v/>
      </c>
      <c r="AB38">
        <f>HYPERLINK("https://klasma.github.io/Logging_0840/klagomålsmail/A 29360-2026 FSC-klagomål mail.docx", "A 29360-2026")</f>
        <v/>
      </c>
      <c r="AC38">
        <f>HYPERLINK("https://klasma.github.io/Logging_0840/tillsyn/A 29360-2026 tillsynsbegäran.docx", "A 29360-2026")</f>
        <v/>
      </c>
      <c r="AD38">
        <f>HYPERLINK("https://klasma.github.io/Logging_0840/tillsynsmail/A 29360-2026 tillsynsbegäran mail.docx", "A 29360-2026")</f>
        <v/>
      </c>
    </row>
    <row r="39" ht="15" customHeight="1">
      <c r="A39" t="inlineStr">
        <is>
          <t>A 54192-2021</t>
        </is>
      </c>
      <c r="B39" t="inlineStr">
        <is>
          <t>avverkningsanmälan</t>
        </is>
      </c>
      <c r="C39" t="inlineStr">
        <is>
          <t>Föryngringsavverkning</t>
        </is>
      </c>
      <c r="D39" s="1" t="n">
        <v>44470</v>
      </c>
      <c r="E39" s="1" t="n">
        <v>46275</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72167-2021</t>
        </is>
      </c>
      <c r="B40" t="inlineStr">
        <is>
          <t>avverkningsanmälan</t>
        </is>
      </c>
      <c r="C40" t="inlineStr">
        <is>
          <t>Föryngringsavverkning</t>
        </is>
      </c>
      <c r="D40" s="1" t="n">
        <v>44544</v>
      </c>
      <c r="E40" s="1" t="n">
        <v>46275</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62231-2023</t>
        </is>
      </c>
      <c r="B41" t="inlineStr">
        <is>
          <t>avverkningsanmälan</t>
        </is>
      </c>
      <c r="C41" t="inlineStr">
        <is>
          <t>Avverkning för annat ändamål</t>
        </is>
      </c>
      <c r="D41" s="1" t="n">
        <v>45267</v>
      </c>
      <c r="E41" s="1" t="n">
        <v>46275</v>
      </c>
      <c r="F41" t="inlineStr">
        <is>
          <t>KALMAR LÄN</t>
        </is>
      </c>
      <c r="G41" t="inlineStr">
        <is>
          <t>MÖRBYLÅNGA</t>
        </is>
      </c>
      <c r="I41" t="n">
        <v>1.6</v>
      </c>
      <c r="J41" t="n">
        <v>1</v>
      </c>
      <c r="K41" t="n">
        <v>1</v>
      </c>
      <c r="L41" t="n">
        <v>0</v>
      </c>
      <c r="M41" t="n">
        <v>0</v>
      </c>
      <c r="N41" t="n">
        <v>0</v>
      </c>
      <c r="O41" t="n">
        <v>0</v>
      </c>
      <c r="P41" t="n">
        <v>0</v>
      </c>
      <c r="Q41" t="n">
        <v>0</v>
      </c>
      <c r="R41" t="n">
        <v>0</v>
      </c>
      <c r="S41" t="n">
        <v>2</v>
      </c>
      <c r="T41" t="n">
        <v>2</v>
      </c>
      <c r="U41" t="n">
        <v>2</v>
      </c>
      <c r="V41" s="2" t="inlineStr">
        <is>
          <t>Murgröna
Blåsippa</t>
        </is>
      </c>
      <c r="W41">
        <f>HYPERLINK("https://klasma.github.io/Logging_0840/artfynd/A 62231-2023 artfynd.xlsx", "A 62231-2023")</f>
        <v/>
      </c>
      <c r="X41">
        <f>HYPERLINK("https://klasma.github.io/Logging_0840/kartor/A 62231-2023 karta.png", "A 62231-2023")</f>
        <v/>
      </c>
      <c r="Y41">
        <f>HYPERLINK("https://klasma.github.io/Logging_0840/kartor_geotiff/A 62231-2023 georefererad karta.tif", "A 62231-2023")</f>
        <v/>
      </c>
      <c r="AA41">
        <f>HYPERLINK("https://klasma.github.io/Logging_0840/klagomål/A 62231-2023 FSC-klagomål.docx", "A 62231-2023")</f>
        <v/>
      </c>
      <c r="AB41">
        <f>HYPERLINK("https://klasma.github.io/Logging_0840/klagomålsmail/A 62231-2023 FSC-klagomål mail.docx", "A 62231-2023")</f>
        <v/>
      </c>
      <c r="AC41">
        <f>HYPERLINK("https://klasma.github.io/Logging_0840/tillsyn/A 62231-2023 tillsynsbegäran.docx", "A 62231-2023")</f>
        <v/>
      </c>
      <c r="AD41">
        <f>HYPERLINK("https://klasma.github.io/Logging_0840/tillsynsmail/A 62231-2023 tillsynsbegäran mail.docx", "A 62231-2023")</f>
        <v/>
      </c>
    </row>
    <row r="42" ht="15" customHeight="1">
      <c r="A42" t="inlineStr">
        <is>
          <t>S 2138-2026</t>
        </is>
      </c>
      <c r="B42" t="inlineStr">
        <is>
          <t>samrådsanmälan</t>
        </is>
      </c>
      <c r="C42" t="inlineStr">
        <is>
          <t>Annan skogsbruksåtgärd</t>
        </is>
      </c>
      <c r="D42" s="1" t="n">
        <v>46246</v>
      </c>
      <c r="E42" s="1" t="n">
        <v>46275</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46275</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46275</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24698-2023</t>
        </is>
      </c>
      <c r="B45" t="inlineStr">
        <is>
          <t>avverkningsanmälan</t>
        </is>
      </c>
      <c r="C45" t="inlineStr">
        <is>
          <t>Föryngringsavverkning</t>
        </is>
      </c>
      <c r="D45" s="1" t="n">
        <v>45084</v>
      </c>
      <c r="E45" s="1" t="n">
        <v>46275</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62183-2025</t>
        </is>
      </c>
      <c r="B46" t="inlineStr">
        <is>
          <t>avverkningsanmälan</t>
        </is>
      </c>
      <c r="C46" t="inlineStr">
        <is>
          <t>Föryngringsavverkning</t>
        </is>
      </c>
      <c r="D46" s="1" t="n">
        <v>46006</v>
      </c>
      <c r="E46" s="1" t="n">
        <v>46275</v>
      </c>
      <c r="F46" t="inlineStr">
        <is>
          <t>KALMAR LÄN</t>
        </is>
      </c>
      <c r="G46" t="inlineStr">
        <is>
          <t>MÖRBYLÅNGA</t>
        </is>
      </c>
      <c r="I46" t="n">
        <v>0.8</v>
      </c>
      <c r="J46" t="n">
        <v>0</v>
      </c>
      <c r="K46" t="n">
        <v>0</v>
      </c>
      <c r="L46" t="n">
        <v>1</v>
      </c>
      <c r="M46" t="n">
        <v>0</v>
      </c>
      <c r="N46" t="n">
        <v>0</v>
      </c>
      <c r="O46" t="n">
        <v>0</v>
      </c>
      <c r="P46" t="n">
        <v>0</v>
      </c>
      <c r="Q46" t="n">
        <v>1</v>
      </c>
      <c r="R46" t="n">
        <v>0</v>
      </c>
      <c r="S46" t="n">
        <v>1</v>
      </c>
      <c r="T46" t="n">
        <v>1</v>
      </c>
      <c r="U46" t="n">
        <v>0</v>
      </c>
      <c r="V46" s="2" t="inlineStr">
        <is>
          <t>Kösa</t>
        </is>
      </c>
      <c r="W46">
        <f>HYPERLINK("https://klasma.github.io/Logging_0840/artfynd/A 62183-2025 artfynd.xlsx", "A 62183-2025")</f>
        <v/>
      </c>
      <c r="X46">
        <f>HYPERLINK("https://klasma.github.io/Logging_0840/kartor/A 62183-2025 karta.png", "A 62183-2025")</f>
        <v/>
      </c>
      <c r="Y46">
        <f>HYPERLINK("https://klasma.github.io/Logging_0840/kartor_geotiff/A 62183-2025 georefererad karta.tif", "A 62183-2025")</f>
        <v/>
      </c>
      <c r="AA46">
        <f>HYPERLINK("https://klasma.github.io/Logging_0840/klagomål/A 62183-2025 FSC-klagomål.docx", "A 62183-2025")</f>
        <v/>
      </c>
      <c r="AB46">
        <f>HYPERLINK("https://klasma.github.io/Logging_0840/klagomålsmail/A 62183-2025 FSC-klagomål mail.docx", "A 62183-2025")</f>
        <v/>
      </c>
      <c r="AC46">
        <f>HYPERLINK("https://klasma.github.io/Logging_0840/tillsyn/A 62183-2025 tillsynsbegäran.docx", "A 62183-2025")</f>
        <v/>
      </c>
      <c r="AD46">
        <f>HYPERLINK("https://klasma.github.io/Logging_0840/tillsynsmail/A 62183-2025 tillsynsbegäran mail.docx", "A 62183-2025")</f>
        <v/>
      </c>
    </row>
    <row r="47" ht="15" customHeight="1">
      <c r="A47" t="inlineStr">
        <is>
          <t>A 30492-2026</t>
        </is>
      </c>
      <c r="B47" t="inlineStr">
        <is>
          <t>avverkningsanmälan</t>
        </is>
      </c>
      <c r="C47" t="inlineStr">
        <is>
          <t>Avverkning för annat ändamål</t>
        </is>
      </c>
      <c r="D47" s="1" t="n">
        <v>46210</v>
      </c>
      <c r="E47" s="1" t="n">
        <v>46275</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36928-2026</t>
        </is>
      </c>
      <c r="B48" t="inlineStr">
        <is>
          <t>avverkningsanmälan</t>
        </is>
      </c>
      <c r="C48" t="inlineStr">
        <is>
          <t>Föryngringsavverkning</t>
        </is>
      </c>
      <c r="D48" s="1" t="n">
        <v>46273</v>
      </c>
      <c r="E48" s="1" t="n">
        <v>46275</v>
      </c>
      <c r="F48" t="inlineStr">
        <is>
          <t>KALMAR LÄN</t>
        </is>
      </c>
      <c r="G48" t="inlineStr">
        <is>
          <t>MÖRBYLÅNGA</t>
        </is>
      </c>
      <c r="I48" t="n">
        <v>1.3</v>
      </c>
      <c r="J48" t="n">
        <v>1</v>
      </c>
      <c r="K48" t="n">
        <v>1</v>
      </c>
      <c r="L48" t="n">
        <v>0</v>
      </c>
      <c r="M48" t="n">
        <v>0</v>
      </c>
      <c r="N48" t="n">
        <v>0</v>
      </c>
      <c r="O48" t="n">
        <v>0</v>
      </c>
      <c r="P48" t="n">
        <v>0</v>
      </c>
      <c r="Q48" t="n">
        <v>0</v>
      </c>
      <c r="R48" t="n">
        <v>0</v>
      </c>
      <c r="S48" t="n">
        <v>1</v>
      </c>
      <c r="T48" t="n">
        <v>1</v>
      </c>
      <c r="U48" t="n">
        <v>0</v>
      </c>
      <c r="V48" s="2" t="inlineStr">
        <is>
          <t>Tvåblad</t>
        </is>
      </c>
      <c r="W48">
        <f>HYPERLINK("https://klasma.github.io/Logging_0840/artfynd/A 36928-2026 artfynd.xlsx", "A 36928-2026")</f>
        <v/>
      </c>
      <c r="X48">
        <f>HYPERLINK("https://klasma.github.io/Logging_0840/kartor/A 36928-2026 karta.png", "A 36928-2026")</f>
        <v/>
      </c>
      <c r="Y48">
        <f>HYPERLINK("https://klasma.github.io/Logging_0840/kartor_geotiff/A 36928-2026 georefererad karta.tif", "A 36928-2026")</f>
        <v/>
      </c>
      <c r="AA48">
        <f>HYPERLINK("https://klasma.github.io/Logging_0840/klagomål/A 36928-2026 FSC-klagomål.docx", "A 36928-2026")</f>
        <v/>
      </c>
      <c r="AB48">
        <f>HYPERLINK("https://klasma.github.io/Logging_0840/klagomålsmail/A 36928-2026 FSC-klagomål mail.docx", "A 36928-2026")</f>
        <v/>
      </c>
      <c r="AC48">
        <f>HYPERLINK("https://klasma.github.io/Logging_0840/tillsyn/A 36928-2026 tillsynsbegäran.docx", "A 36928-2026")</f>
        <v/>
      </c>
      <c r="AD48">
        <f>HYPERLINK("https://klasma.github.io/Logging_0840/tillsynsmail/A 36928-2026 tillsynsbegäran mail.docx", "A 36928-2026")</f>
        <v/>
      </c>
    </row>
    <row r="49" ht="15" customHeight="1">
      <c r="A49" t="inlineStr">
        <is>
          <t>A 26876-2022</t>
        </is>
      </c>
      <c r="B49" t="inlineStr">
        <is>
          <t>avverkningsanmälan</t>
        </is>
      </c>
      <c r="C49" t="inlineStr">
        <is>
          <t>Avverkning för annat ändamål</t>
        </is>
      </c>
      <c r="D49" s="1" t="n">
        <v>44740</v>
      </c>
      <c r="E49" s="1" t="n">
        <v>46275</v>
      </c>
      <c r="F49" t="inlineStr">
        <is>
          <t>KALMAR LÄN</t>
        </is>
      </c>
      <c r="G49" t="inlineStr">
        <is>
          <t>MÖRBYLÅNGA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57407-2025</t>
        </is>
      </c>
      <c r="B50" t="inlineStr">
        <is>
          <t>avverkningsanmälan</t>
        </is>
      </c>
      <c r="C50" t="inlineStr">
        <is>
          <t>Föryngringsavverkning</t>
        </is>
      </c>
      <c r="D50" s="1" t="n">
        <v>45980</v>
      </c>
      <c r="E50" s="1" t="n">
        <v>46275</v>
      </c>
      <c r="F50" t="inlineStr">
        <is>
          <t>KALMAR LÄN</t>
        </is>
      </c>
      <c r="G50" t="inlineStr">
        <is>
          <t>MÖRBYLÅNGA</t>
        </is>
      </c>
      <c r="I50" t="n">
        <v>0.8</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46275</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2026-09-10T02:13:27Z</dcterms:created>
  <dcterms:modified xmlns:dcterms="http://purl.org/dc/terms/" xmlns:xsi="http://www.w3.org/2001/XMLSchema-instance" xsi:type="dcterms:W3CDTF">2026-09-10T02:13:27Z</dcterms:modified>
</cp:coreProperties>
</file>