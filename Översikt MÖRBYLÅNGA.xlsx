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46099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46099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27865-2024</t>
        </is>
      </c>
      <c r="B4" s="1" t="n">
        <v>45475.67303240741</v>
      </c>
      <c r="C4" s="1" t="n">
        <v>46099</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agg.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21219-2023</t>
        </is>
      </c>
      <c r="B5" s="1" t="n">
        <v>45062</v>
      </c>
      <c r="C5" s="1" t="n">
        <v>46099</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21214-2023</t>
        </is>
      </c>
      <c r="B6" s="1" t="n">
        <v>45062</v>
      </c>
      <c r="C6" s="1" t="n">
        <v>46099</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46099</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46099</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46099</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46099</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46099</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46099</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46099</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54167-2024</t>
        </is>
      </c>
      <c r="B14" s="1" t="n">
        <v>45616.62196759259</v>
      </c>
      <c r="C14" s="1" t="n">
        <v>46099</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46099</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46099</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46099</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46099</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46099</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40361-2023</t>
        </is>
      </c>
      <c r="B20" s="1" t="n">
        <v>45169</v>
      </c>
      <c r="C20" s="1" t="n">
        <v>46099</v>
      </c>
      <c r="D20" t="inlineStr">
        <is>
          <t>KALMAR LÄN</t>
        </is>
      </c>
      <c r="E20" t="inlineStr">
        <is>
          <t>MÖRBYLÅNGA</t>
        </is>
      </c>
      <c r="G20" t="n">
        <v>1.1</v>
      </c>
      <c r="H20" t="n">
        <v>0</v>
      </c>
      <c r="I20" t="n">
        <v>0</v>
      </c>
      <c r="J20" t="n">
        <v>1</v>
      </c>
      <c r="K20" t="n">
        <v>0</v>
      </c>
      <c r="L20" t="n">
        <v>0</v>
      </c>
      <c r="M20" t="n">
        <v>1</v>
      </c>
      <c r="N20" t="n">
        <v>0</v>
      </c>
      <c r="O20" t="n">
        <v>2</v>
      </c>
      <c r="P20" t="n">
        <v>1</v>
      </c>
      <c r="Q20" t="n">
        <v>2</v>
      </c>
      <c r="R20" s="2" t="inlineStr">
        <is>
          <t>Lundalm
Ängsskära</t>
        </is>
      </c>
      <c r="S20">
        <f>HYPERLINK("https://klasma.github.io/Logging_0840/artfynd/A 40361-2023 artfynd.xlsx", "A 40361-2023")</f>
        <v/>
      </c>
      <c r="T20">
        <f>HYPERLINK("https://klasma.github.io/Logging_0840/kartor/A 40361-2023 karta.png", "A 40361-2023")</f>
        <v/>
      </c>
      <c r="V20">
        <f>HYPERLINK("https://klasma.github.io/Logging_0840/klagomål/A 40361-2023 FSC-klagomål.docx", "A 40361-2023")</f>
        <v/>
      </c>
      <c r="W20">
        <f>HYPERLINK("https://klasma.github.io/Logging_0840/klagomålsmail/A 40361-2023 FSC-klagomål mail.docx", "A 40361-2023")</f>
        <v/>
      </c>
      <c r="X20">
        <f>HYPERLINK("https://klasma.github.io/Logging_0840/tillsyn/A 40361-2023 tillsynsbegäran.docx", "A 40361-2023")</f>
        <v/>
      </c>
      <c r="Y20">
        <f>HYPERLINK("https://klasma.github.io/Logging_0840/tillsynsmail/A 40361-2023 tillsynsbegäran mail.docx", "A 40361-2023")</f>
        <v/>
      </c>
    </row>
    <row r="21" ht="15" customHeight="1">
      <c r="A21" t="inlineStr">
        <is>
          <t>A 62231-2023</t>
        </is>
      </c>
      <c r="B21" s="1" t="n">
        <v>45267</v>
      </c>
      <c r="C21" s="1" t="n">
        <v>46099</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15600-2025</t>
        </is>
      </c>
      <c r="B22" s="1" t="n">
        <v>45747</v>
      </c>
      <c r="C22" s="1" t="n">
        <v>46099</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46099</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46099</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19459-2023</t>
        </is>
      </c>
      <c r="B25" s="1" t="n">
        <v>45049</v>
      </c>
      <c r="C25" s="1" t="n">
        <v>46099</v>
      </c>
      <c r="D25" t="inlineStr">
        <is>
          <t>KALMAR LÄN</t>
        </is>
      </c>
      <c r="E25" t="inlineStr">
        <is>
          <t>MÖRBYLÅNGA</t>
        </is>
      </c>
      <c r="G25" t="n">
        <v>1.6</v>
      </c>
      <c r="H25" t="n">
        <v>0</v>
      </c>
      <c r="I25" t="n">
        <v>0</v>
      </c>
      <c r="J25" t="n">
        <v>0</v>
      </c>
      <c r="K25" t="n">
        <v>1</v>
      </c>
      <c r="L25" t="n">
        <v>0</v>
      </c>
      <c r="M25" t="n">
        <v>0</v>
      </c>
      <c r="N25" t="n">
        <v>0</v>
      </c>
      <c r="O25" t="n">
        <v>1</v>
      </c>
      <c r="P25" t="n">
        <v>1</v>
      </c>
      <c r="Q25" t="n">
        <v>1</v>
      </c>
      <c r="R25" s="2" t="inlineStr">
        <is>
          <t>Luddvicker</t>
        </is>
      </c>
      <c r="S25">
        <f>HYPERLINK("https://klasma.github.io/Logging_0840/artfynd/A 19459-2023 artfynd.xlsx", "A 19459-2023")</f>
        <v/>
      </c>
      <c r="T25">
        <f>HYPERLINK("https://klasma.github.io/Logging_0840/kartor/A 19459-2023 karta.png", "A 19459-2023")</f>
        <v/>
      </c>
      <c r="V25">
        <f>HYPERLINK("https://klasma.github.io/Logging_0840/klagomål/A 19459-2023 FSC-klagomål.docx", "A 19459-2023")</f>
        <v/>
      </c>
      <c r="W25">
        <f>HYPERLINK("https://klasma.github.io/Logging_0840/klagomålsmail/A 19459-2023 FSC-klagomål mail.docx", "A 19459-2023")</f>
        <v/>
      </c>
      <c r="X25">
        <f>HYPERLINK("https://klasma.github.io/Logging_0840/tillsyn/A 19459-2023 tillsynsbegäran.docx", "A 19459-2023")</f>
        <v/>
      </c>
      <c r="Y25">
        <f>HYPERLINK("https://klasma.github.io/Logging_0840/tillsynsmail/A 19459-2023 tillsynsbegäran mail.docx", "A 19459-2023")</f>
        <v/>
      </c>
    </row>
    <row r="26" ht="15" customHeight="1">
      <c r="A26" t="inlineStr">
        <is>
          <t>A 24698-2023</t>
        </is>
      </c>
      <c r="B26" s="1" t="n">
        <v>45084</v>
      </c>
      <c r="C26" s="1" t="n">
        <v>46099</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46099</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46099</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26876-2022</t>
        </is>
      </c>
      <c r="B29" s="1" t="n">
        <v>44740</v>
      </c>
      <c r="C29" s="1" t="n">
        <v>46099</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46099</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46099</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46099</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46099</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57407-2025</t>
        </is>
      </c>
      <c r="B34" s="1" t="n">
        <v>45980.44351851852</v>
      </c>
      <c r="C34" s="1" t="n">
        <v>46099</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46099</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46099</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2026-03-18T11:25:18Z</dcterms:created>
  <dcterms:modified xmlns:dcterms="http://purl.org/dc/terms/" xmlns:xsi="http://www.w3.org/2001/XMLSchema-instance" xsi:type="dcterms:W3CDTF">2026-03-18T11:25:18Z</dcterms:modified>
</cp:coreProperties>
</file>