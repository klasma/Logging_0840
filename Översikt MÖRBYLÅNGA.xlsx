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461-2023</t>
        </is>
      </c>
      <c r="B2" t="inlineStr">
        <is>
          <t>samrådsanmälan</t>
        </is>
      </c>
      <c r="C2" t="inlineStr">
        <is>
          <t>Annan skogsbruksåtgärd</t>
        </is>
      </c>
      <c r="D2" s="1" t="n">
        <v>44964</v>
      </c>
      <c r="E2" s="1" t="n">
        <v>46272</v>
      </c>
      <c r="F2" t="inlineStr">
        <is>
          <t>KALMAR LÄN</t>
        </is>
      </c>
      <c r="G2" t="inlineStr">
        <is>
          <t>MÖRBYLÅNGA</t>
        </is>
      </c>
      <c r="H2" t="inlineStr">
        <is>
          <t>Kyrkan</t>
        </is>
      </c>
      <c r="I2" t="n">
        <v>7.4</v>
      </c>
      <c r="J2" t="n">
        <v>25</v>
      </c>
      <c r="K2" t="n">
        <v>12</v>
      </c>
      <c r="L2" t="n">
        <v>13</v>
      </c>
      <c r="M2" t="n">
        <v>3</v>
      </c>
      <c r="N2" t="n">
        <v>3</v>
      </c>
      <c r="O2" t="n">
        <v>1</v>
      </c>
      <c r="P2" t="n">
        <v>0</v>
      </c>
      <c r="Q2" t="n">
        <v>20</v>
      </c>
      <c r="R2" t="n">
        <v>7</v>
      </c>
      <c r="S2" t="n">
        <v>50</v>
      </c>
      <c r="T2" t="n">
        <v>73</v>
      </c>
      <c r="U2" t="n">
        <v>42</v>
      </c>
      <c r="V2"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2">
        <f>HYPERLINK("https://klasma.github.io/Logging_0840/artfynd/S 461-2023 artfynd.xlsx", "S 461-2023")</f>
        <v/>
      </c>
      <c r="X2">
        <f>HYPERLINK("https://klasma.github.io/Logging_0840/kartor/S 461-2023 karta.png", "S 461-2023")</f>
        <v/>
      </c>
      <c r="Y2">
        <f>HYPERLINK("https://klasma.github.io/Logging_0840/kartor_geotiff/S 461-2023 georefererad karta.tif", "S 461-2023")</f>
        <v/>
      </c>
      <c r="AA2">
        <f>HYPERLINK("https://klasma.github.io/Logging_0840/klagomål/S 461-2023 FSC-klagomål.docx", "S 461-2023")</f>
        <v/>
      </c>
      <c r="AB2">
        <f>HYPERLINK("https://klasma.github.io/Logging_0840/klagomålsmail/S 461-2023 FSC-klagomål mail.docx", "S 461-2023")</f>
        <v/>
      </c>
      <c r="AC2">
        <f>HYPERLINK("https://klasma.github.io/Logging_0840/tillsyn/S 461-2023 tillsynsbegäran.docx", "S 461-2023")</f>
        <v/>
      </c>
      <c r="AD2">
        <f>HYPERLINK("https://klasma.github.io/Logging_0840/tillsynsmail/S 461-2023 tillsynsbegäran mail.docx", "S 461-2023")</f>
        <v/>
      </c>
      <c r="AE2">
        <f>HYPERLINK("https://klasma.github.io/Logging_0840/fåglar/S 461-2023 prioriterade fågelarter.docx", "S 461-2023")</f>
        <v/>
      </c>
    </row>
    <row r="3" ht="15" customHeight="1">
      <c r="A3" t="inlineStr">
        <is>
          <t>S 1761-2022</t>
        </is>
      </c>
      <c r="B3" t="inlineStr">
        <is>
          <t>samrådsanmälan</t>
        </is>
      </c>
      <c r="C3" t="inlineStr">
        <is>
          <t>Annan skogsbruksåtgärd</t>
        </is>
      </c>
      <c r="D3" s="1" t="n">
        <v>44655</v>
      </c>
      <c r="E3" s="1" t="n">
        <v>46272</v>
      </c>
      <c r="F3" t="inlineStr">
        <is>
          <t>KALMAR LÄN</t>
        </is>
      </c>
      <c r="G3" t="inlineStr">
        <is>
          <t>MÖRBYLÅNGA</t>
        </is>
      </c>
      <c r="I3" t="n">
        <v>6.3</v>
      </c>
      <c r="J3" t="n">
        <v>15</v>
      </c>
      <c r="K3" t="n">
        <v>5</v>
      </c>
      <c r="L3" t="n">
        <v>20</v>
      </c>
      <c r="M3" t="n">
        <v>9</v>
      </c>
      <c r="N3" t="n">
        <v>2</v>
      </c>
      <c r="O3" t="n">
        <v>0</v>
      </c>
      <c r="P3" t="n">
        <v>0</v>
      </c>
      <c r="Q3" t="n">
        <v>31</v>
      </c>
      <c r="R3" t="n">
        <v>11</v>
      </c>
      <c r="S3" t="n">
        <v>46</v>
      </c>
      <c r="T3" t="n">
        <v>61</v>
      </c>
      <c r="U3" t="n">
        <v>32</v>
      </c>
      <c r="V3"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3">
        <f>HYPERLINK("https://klasma.github.io/Logging_0840/artfynd/S 1761-2022 artfynd.xlsx", "S 1761-2022")</f>
        <v/>
      </c>
      <c r="X3">
        <f>HYPERLINK("https://klasma.github.io/Logging_0840/kartor/S 1761-2022 karta.png", "S 1761-2022")</f>
        <v/>
      </c>
      <c r="Y3">
        <f>HYPERLINK("https://klasma.github.io/Logging_0840/kartor_geotiff/S 1761-2022 georefererad karta.tif", "S 1761-2022")</f>
        <v/>
      </c>
      <c r="AA3">
        <f>HYPERLINK("https://klasma.github.io/Logging_0840/klagomål/S 1761-2022 FSC-klagomål.docx", "S 1761-2022")</f>
        <v/>
      </c>
      <c r="AB3">
        <f>HYPERLINK("https://klasma.github.io/Logging_0840/klagomålsmail/S 1761-2022 FSC-klagomål mail.docx", "S 1761-2022")</f>
        <v/>
      </c>
      <c r="AC3">
        <f>HYPERLINK("https://klasma.github.io/Logging_0840/tillsyn/S 1761-2022 tillsynsbegäran.docx", "S 1761-2022")</f>
        <v/>
      </c>
      <c r="AD3">
        <f>HYPERLINK("https://klasma.github.io/Logging_0840/tillsynsmail/S 1761-2022 tillsynsbegäran mail.docx", "S 1761-2022")</f>
        <v/>
      </c>
      <c r="AE3">
        <f>HYPERLINK("https://klasma.github.io/Logging_0840/fåglar/S 1761-2022 prioriterade fågelarter.docx", "S 1761-2022")</f>
        <v/>
      </c>
    </row>
    <row r="4" ht="15" customHeight="1">
      <c r="A4" t="inlineStr">
        <is>
          <t>A 42099-2023</t>
        </is>
      </c>
      <c r="B4" t="inlineStr">
        <is>
          <t>avverkningsanmälan</t>
        </is>
      </c>
      <c r="C4" t="inlineStr">
        <is>
          <t>Föryngringsavverkning</t>
        </is>
      </c>
      <c r="D4" s="1" t="n">
        <v>45177</v>
      </c>
      <c r="E4" s="1" t="n">
        <v>46272</v>
      </c>
      <c r="F4" t="inlineStr">
        <is>
          <t>KALMAR LÄN</t>
        </is>
      </c>
      <c r="G4" t="inlineStr">
        <is>
          <t>MÖRBYLÅNGA</t>
        </is>
      </c>
      <c r="I4" t="n">
        <v>1.5</v>
      </c>
      <c r="J4" t="n">
        <v>4</v>
      </c>
      <c r="K4" t="n">
        <v>2</v>
      </c>
      <c r="L4" t="n">
        <v>29</v>
      </c>
      <c r="M4" t="n">
        <v>9</v>
      </c>
      <c r="N4" t="n">
        <v>4</v>
      </c>
      <c r="O4" t="n">
        <v>0</v>
      </c>
      <c r="P4" t="n">
        <v>0</v>
      </c>
      <c r="Q4" t="n">
        <v>42</v>
      </c>
      <c r="R4" t="n">
        <v>13</v>
      </c>
      <c r="S4" t="n">
        <v>45</v>
      </c>
      <c r="T4" t="n">
        <v>69</v>
      </c>
      <c r="U4" t="n">
        <v>34</v>
      </c>
      <c r="V4"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4">
        <f>HYPERLINK("https://klasma.github.io/Logging_0840/artfynd/A 42099-2023 artfynd.xlsx", "A 42099-2023")</f>
        <v/>
      </c>
      <c r="X4">
        <f>HYPERLINK("https://klasma.github.io/Logging_0840/kartor/A 42099-2023 karta.png", "A 42099-2023")</f>
        <v/>
      </c>
      <c r="Y4">
        <f>HYPERLINK("https://klasma.github.io/Logging_0840/kartor_geotiff/A 42099-2023 georefererad karta.tif", "A 42099-2023")</f>
        <v/>
      </c>
      <c r="AA4">
        <f>HYPERLINK("https://klasma.github.io/Logging_0840/klagomål/A 42099-2023 FSC-klagomål.docx", "A 42099-2023")</f>
        <v/>
      </c>
      <c r="AB4">
        <f>HYPERLINK("https://klasma.github.io/Logging_0840/klagomålsmail/A 42099-2023 FSC-klagomål mail.docx", "A 42099-2023")</f>
        <v/>
      </c>
      <c r="AC4">
        <f>HYPERLINK("https://klasma.github.io/Logging_0840/tillsyn/A 42099-2023 tillsynsbegäran.docx", "A 42099-2023")</f>
        <v/>
      </c>
      <c r="AD4">
        <f>HYPERLINK("https://klasma.github.io/Logging_0840/tillsynsmail/A 42099-2023 tillsynsbegäran mail.docx", "A 42099-2023")</f>
        <v/>
      </c>
      <c r="AE4">
        <f>HYPERLINK("https://klasma.github.io/Logging_0840/fåglar/A 42099-2023 prioriterade fågelarter.docx", "A 42099-2023")</f>
        <v/>
      </c>
    </row>
    <row r="5" ht="15" customHeight="1">
      <c r="A5" t="inlineStr">
        <is>
          <t>S 2110-2023</t>
        </is>
      </c>
      <c r="B5" t="inlineStr">
        <is>
          <t>samrådsanmälan</t>
        </is>
      </c>
      <c r="C5" t="inlineStr">
        <is>
          <t>Annan skogsbruksåtgärd</t>
        </is>
      </c>
      <c r="D5" s="1" t="n">
        <v>45096</v>
      </c>
      <c r="E5" s="1" t="n">
        <v>46272</v>
      </c>
      <c r="F5" t="inlineStr">
        <is>
          <t>KALMAR LÄN</t>
        </is>
      </c>
      <c r="G5" t="inlineStr">
        <is>
          <t>MÖRBYLÅNGA</t>
        </is>
      </c>
      <c r="I5" t="n">
        <v>10.5</v>
      </c>
      <c r="J5" t="n">
        <v>9</v>
      </c>
      <c r="K5" t="n">
        <v>16</v>
      </c>
      <c r="L5" t="n">
        <v>11</v>
      </c>
      <c r="M5" t="n">
        <v>8</v>
      </c>
      <c r="N5" t="n">
        <v>3</v>
      </c>
      <c r="O5" t="n">
        <v>1</v>
      </c>
      <c r="P5" t="n">
        <v>0</v>
      </c>
      <c r="Q5" t="n">
        <v>23</v>
      </c>
      <c r="R5" t="n">
        <v>12</v>
      </c>
      <c r="S5" t="n">
        <v>45</v>
      </c>
      <c r="T5" t="n">
        <v>169</v>
      </c>
      <c r="U5" t="n">
        <v>150</v>
      </c>
      <c r="V5"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5">
        <f>HYPERLINK("https://klasma.github.io/Logging_0840/artfynd/S 2110-2023 artfynd.xlsx", "S 2110-2023")</f>
        <v/>
      </c>
      <c r="X5">
        <f>HYPERLINK("https://klasma.github.io/Logging_0840/kartor/S 2110-2023 karta.png", "S 2110-2023")</f>
        <v/>
      </c>
      <c r="Y5">
        <f>HYPERLINK("https://klasma.github.io/Logging_0840/kartor_geotiff/S 2110-2023 georefererad karta.tif", "S 2110-2023")</f>
        <v/>
      </c>
      <c r="AA5">
        <f>HYPERLINK("https://klasma.github.io/Logging_0840/klagomål/S 2110-2023 FSC-klagomål.docx", "S 2110-2023")</f>
        <v/>
      </c>
      <c r="AB5">
        <f>HYPERLINK("https://klasma.github.io/Logging_0840/klagomålsmail/S 2110-2023 FSC-klagomål mail.docx", "S 2110-2023")</f>
        <v/>
      </c>
      <c r="AC5">
        <f>HYPERLINK("https://klasma.github.io/Logging_0840/tillsyn/S 2110-2023 tillsynsbegäran.docx", "S 2110-2023")</f>
        <v/>
      </c>
      <c r="AD5">
        <f>HYPERLINK("https://klasma.github.io/Logging_0840/tillsynsmail/S 2110-2023 tillsynsbegäran mail.docx", "S 2110-2023")</f>
        <v/>
      </c>
      <c r="AE5">
        <f>HYPERLINK("https://klasma.github.io/Logging_0840/fåglar/S 2110-2023 prioriterade fågelarter.docx", "S 2110-2023")</f>
        <v/>
      </c>
    </row>
    <row r="6" ht="15" customHeight="1">
      <c r="A6" t="inlineStr">
        <is>
          <t>A 4152-2025</t>
        </is>
      </c>
      <c r="B6" t="inlineStr">
        <is>
          <t>avverkningsanmälan</t>
        </is>
      </c>
      <c r="C6" t="inlineStr">
        <is>
          <t>Föryngringsavverkning</t>
        </is>
      </c>
      <c r="D6" s="1" t="n">
        <v>45685</v>
      </c>
      <c r="E6" s="1" t="n">
        <v>46272</v>
      </c>
      <c r="F6" t="inlineStr">
        <is>
          <t>KALMAR LÄN</t>
        </is>
      </c>
      <c r="G6" t="inlineStr">
        <is>
          <t>MÖRBYLÅNGA</t>
        </is>
      </c>
      <c r="I6" t="n">
        <v>7.3</v>
      </c>
      <c r="J6" t="n">
        <v>10</v>
      </c>
      <c r="K6" t="n">
        <v>7</v>
      </c>
      <c r="L6" t="n">
        <v>18</v>
      </c>
      <c r="M6" t="n">
        <v>3</v>
      </c>
      <c r="N6" t="n">
        <v>2</v>
      </c>
      <c r="O6" t="n">
        <v>1</v>
      </c>
      <c r="P6" t="n">
        <v>0</v>
      </c>
      <c r="Q6" t="n">
        <v>24</v>
      </c>
      <c r="R6" t="n">
        <v>6</v>
      </c>
      <c r="S6" t="n">
        <v>36</v>
      </c>
      <c r="T6" t="n">
        <v>186</v>
      </c>
      <c r="U6" t="n">
        <v>146</v>
      </c>
      <c r="V6"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6">
        <f>HYPERLINK("https://klasma.github.io/Logging_0840/artfynd/A 4152-2025 artfynd.xlsx", "A 4152-2025")</f>
        <v/>
      </c>
      <c r="X6">
        <f>HYPERLINK("https://klasma.github.io/Logging_0840/kartor/A 4152-2025 karta.png", "A 4152-2025")</f>
        <v/>
      </c>
      <c r="Y6">
        <f>HYPERLINK("https://klasma.github.io/Logging_0840/kartor_geotiff/A 4152-2025 georefererad karta.tif", "A 4152-2025")</f>
        <v/>
      </c>
      <c r="Z6">
        <f>HYPERLINK("https://klasma.github.io/Logging_0840/knärot/A 4152-2025 karta knärot.png", "A 4152-2025")</f>
        <v/>
      </c>
      <c r="AA6">
        <f>HYPERLINK("https://klasma.github.io/Logging_0840/klagomål/A 4152-2025 FSC-klagomål.docx", "A 4152-2025")</f>
        <v/>
      </c>
      <c r="AB6">
        <f>HYPERLINK("https://klasma.github.io/Logging_0840/klagomålsmail/A 4152-2025 FSC-klagomål mail.docx", "A 4152-2025")</f>
        <v/>
      </c>
      <c r="AC6">
        <f>HYPERLINK("https://klasma.github.io/Logging_0840/tillsyn/A 4152-2025 tillsynsbegäran.docx", "A 4152-2025")</f>
        <v/>
      </c>
      <c r="AD6">
        <f>HYPERLINK("https://klasma.github.io/Logging_0840/tillsynsmail/A 4152-2025 tillsynsbegäran mail.docx", "A 4152-2025")</f>
        <v/>
      </c>
      <c r="AE6">
        <f>HYPERLINK("https://klasma.github.io/Logging_0840/fåglar/A 4152-2025 prioriterade fågelarter.docx", "A 4152-2025")</f>
        <v/>
      </c>
    </row>
    <row r="7" ht="15" customHeight="1">
      <c r="A7" t="inlineStr">
        <is>
          <t>A 27865-2024</t>
        </is>
      </c>
      <c r="B7" t="inlineStr">
        <is>
          <t>avverkningsanmälan</t>
        </is>
      </c>
      <c r="C7" t="inlineStr">
        <is>
          <t>Föryngringsavverkning</t>
        </is>
      </c>
      <c r="D7" s="1" t="n">
        <v>45475</v>
      </c>
      <c r="E7" s="1" t="n">
        <v>46272</v>
      </c>
      <c r="F7" t="inlineStr">
        <is>
          <t>KALMAR LÄN</t>
        </is>
      </c>
      <c r="G7" t="inlineStr">
        <is>
          <t>MÖRBYLÅNGA</t>
        </is>
      </c>
      <c r="I7" t="n">
        <v>0.7</v>
      </c>
      <c r="J7" t="n">
        <v>8</v>
      </c>
      <c r="K7" t="n">
        <v>7</v>
      </c>
      <c r="L7" t="n">
        <v>10</v>
      </c>
      <c r="M7" t="n">
        <v>0</v>
      </c>
      <c r="N7" t="n">
        <v>0</v>
      </c>
      <c r="O7" t="n">
        <v>0</v>
      </c>
      <c r="P7" t="n">
        <v>0</v>
      </c>
      <c r="Q7" t="n">
        <v>10</v>
      </c>
      <c r="R7" t="n">
        <v>0</v>
      </c>
      <c r="S7" t="n">
        <v>21</v>
      </c>
      <c r="T7" t="n">
        <v>43</v>
      </c>
      <c r="U7" t="n">
        <v>34</v>
      </c>
      <c r="V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7">
        <f>HYPERLINK("https://klasma.github.io/Logging_0840/artfynd/A 27865-2024 artfynd.xlsx", "A 27865-2024")</f>
        <v/>
      </c>
      <c r="X7">
        <f>HYPERLINK("https://klasma.github.io/Logging_0840/kartor/A 27865-2024 karta.png", "A 27865-2024")</f>
        <v/>
      </c>
      <c r="Y7">
        <f>HYPERLINK("https://klasma.github.io/Logging_0840/kartor_geotiff/A 27865-2024 georefererad karta.tif", "A 27865-2024")</f>
        <v/>
      </c>
      <c r="AA7">
        <f>HYPERLINK("https://klasma.github.io/Logging_0840/klagomål/A 27865-2024 FSC-klagomål.docx", "A 27865-2024")</f>
        <v/>
      </c>
      <c r="AB7">
        <f>HYPERLINK("https://klasma.github.io/Logging_0840/klagomålsmail/A 27865-2024 FSC-klagomål mail.docx", "A 27865-2024")</f>
        <v/>
      </c>
      <c r="AC7">
        <f>HYPERLINK("https://klasma.github.io/Logging_0840/tillsyn/A 27865-2024 tillsynsbegäran.docx", "A 27865-2024")</f>
        <v/>
      </c>
      <c r="AD7">
        <f>HYPERLINK("https://klasma.github.io/Logging_0840/tillsynsmail/A 27865-2024 tillsynsbegäran mail.docx", "A 27865-2024")</f>
        <v/>
      </c>
      <c r="AE7">
        <f>HYPERLINK("https://klasma.github.io/Logging_0840/fåglar/A 27865-2024 prioriterade fågelarter.docx", "A 27865-2024")</f>
        <v/>
      </c>
    </row>
    <row r="8" ht="15" customHeight="1">
      <c r="A8" t="inlineStr">
        <is>
          <t>A 21219-2023</t>
        </is>
      </c>
      <c r="B8" t="inlineStr">
        <is>
          <t>avverkningsanmälan</t>
        </is>
      </c>
      <c r="C8" t="inlineStr">
        <is>
          <t>Föryngringsavverkning</t>
        </is>
      </c>
      <c r="D8" s="1" t="n">
        <v>45062</v>
      </c>
      <c r="E8" s="1" t="n">
        <v>46272</v>
      </c>
      <c r="F8" t="inlineStr">
        <is>
          <t>KALMAR LÄN</t>
        </is>
      </c>
      <c r="G8" t="inlineStr">
        <is>
          <t>MÖRBYLÅNGA</t>
        </is>
      </c>
      <c r="I8" t="n">
        <v>2.6</v>
      </c>
      <c r="J8" t="n">
        <v>7</v>
      </c>
      <c r="K8" t="n">
        <v>10</v>
      </c>
      <c r="L8" t="n">
        <v>5</v>
      </c>
      <c r="M8" t="n">
        <v>1</v>
      </c>
      <c r="N8" t="n">
        <v>1</v>
      </c>
      <c r="O8" t="n">
        <v>0</v>
      </c>
      <c r="P8" t="n">
        <v>0</v>
      </c>
      <c r="Q8" t="n">
        <v>7</v>
      </c>
      <c r="R8" t="n">
        <v>2</v>
      </c>
      <c r="S8" t="n">
        <v>20</v>
      </c>
      <c r="T8" t="n">
        <v>94</v>
      </c>
      <c r="U8" t="n">
        <v>94</v>
      </c>
      <c r="V8"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8">
        <f>HYPERLINK("https://klasma.github.io/Logging_0840/artfynd/A 21219-2023 artfynd.xlsx", "A 21219-2023")</f>
        <v/>
      </c>
      <c r="X8">
        <f>HYPERLINK("https://klasma.github.io/Logging_0840/kartor/A 21219-2023 karta.png", "A 21219-2023")</f>
        <v/>
      </c>
      <c r="Y8">
        <f>HYPERLINK("https://klasma.github.io/Logging_0840/kartor_geotiff/A 21219-2023 georefererad karta.tif", "A 21219-2023")</f>
        <v/>
      </c>
      <c r="AA8">
        <f>HYPERLINK("https://klasma.github.io/Logging_0840/klagomål/A 21219-2023 FSC-klagomål.docx", "A 21219-2023")</f>
        <v/>
      </c>
      <c r="AB8">
        <f>HYPERLINK("https://klasma.github.io/Logging_0840/klagomålsmail/A 21219-2023 FSC-klagomål mail.docx", "A 21219-2023")</f>
        <v/>
      </c>
      <c r="AC8">
        <f>HYPERLINK("https://klasma.github.io/Logging_0840/tillsyn/A 21219-2023 tillsynsbegäran.docx", "A 21219-2023")</f>
        <v/>
      </c>
      <c r="AD8">
        <f>HYPERLINK("https://klasma.github.io/Logging_0840/tillsynsmail/A 21219-2023 tillsynsbegäran mail.docx", "A 21219-2023")</f>
        <v/>
      </c>
    </row>
    <row r="9" ht="15" customHeight="1">
      <c r="A9" t="inlineStr">
        <is>
          <t>A 28146-2026</t>
        </is>
      </c>
      <c r="B9" t="inlineStr">
        <is>
          <t>avverkningsanmälan</t>
        </is>
      </c>
      <c r="C9" t="inlineStr">
        <is>
          <t>Avverkning för annat ändamål</t>
        </is>
      </c>
      <c r="D9" s="1" t="n">
        <v>46195</v>
      </c>
      <c r="E9" s="1" t="n">
        <v>46272</v>
      </c>
      <c r="F9" t="inlineStr">
        <is>
          <t>KALMAR LÄN</t>
        </is>
      </c>
      <c r="G9" t="inlineStr">
        <is>
          <t>MÖRBYLÅNGA</t>
        </is>
      </c>
      <c r="I9" t="n">
        <v>8.4</v>
      </c>
      <c r="J9" t="n">
        <v>8</v>
      </c>
      <c r="K9" t="n">
        <v>2</v>
      </c>
      <c r="L9" t="n">
        <v>10</v>
      </c>
      <c r="M9" t="n">
        <v>0</v>
      </c>
      <c r="N9" t="n">
        <v>0</v>
      </c>
      <c r="O9" t="n">
        <v>0</v>
      </c>
      <c r="P9" t="n">
        <v>0</v>
      </c>
      <c r="Q9" t="n">
        <v>10</v>
      </c>
      <c r="R9" t="n">
        <v>0</v>
      </c>
      <c r="S9" t="n">
        <v>19</v>
      </c>
      <c r="T9" t="n">
        <v>20</v>
      </c>
      <c r="U9" t="n">
        <v>0</v>
      </c>
      <c r="V9"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9">
        <f>HYPERLINK("https://klasma.github.io/Logging_0840/artfynd/A 28146-2026 artfynd.xlsx", "A 28146-2026")</f>
        <v/>
      </c>
      <c r="X9">
        <f>HYPERLINK("https://klasma.github.io/Logging_0840/kartor/A 28146-2026 karta.png", "A 28146-2026")</f>
        <v/>
      </c>
      <c r="Y9">
        <f>HYPERLINK("https://klasma.github.io/Logging_0840/kartor_geotiff/A 28146-2026 georefererad karta.tif", "A 28146-2026")</f>
        <v/>
      </c>
      <c r="AA9">
        <f>HYPERLINK("https://klasma.github.io/Logging_0840/klagomål/A 28146-2026 FSC-klagomål.docx", "A 28146-2026")</f>
        <v/>
      </c>
      <c r="AB9">
        <f>HYPERLINK("https://klasma.github.io/Logging_0840/klagomålsmail/A 28146-2026 FSC-klagomål mail.docx", "A 28146-2026")</f>
        <v/>
      </c>
      <c r="AC9">
        <f>HYPERLINK("https://klasma.github.io/Logging_0840/tillsyn/A 28146-2026 tillsynsbegäran.docx", "A 28146-2026")</f>
        <v/>
      </c>
      <c r="AD9">
        <f>HYPERLINK("https://klasma.github.io/Logging_0840/tillsynsmail/A 28146-2026 tillsynsbegäran mail.docx", "A 28146-2026")</f>
        <v/>
      </c>
    </row>
    <row r="10" ht="15" customHeight="1">
      <c r="A10" t="inlineStr">
        <is>
          <t>S 1766-2026</t>
        </is>
      </c>
      <c r="B10" t="inlineStr">
        <is>
          <t>samrådsanmälan</t>
        </is>
      </c>
      <c r="C10" t="inlineStr">
        <is>
          <t>Annan skogsbruksåtgärd</t>
        </is>
      </c>
      <c r="D10" s="1" t="n">
        <v>46189</v>
      </c>
      <c r="E10" s="1" t="n">
        <v>46272</v>
      </c>
      <c r="F10" t="inlineStr">
        <is>
          <t>KALMAR LÄN</t>
        </is>
      </c>
      <c r="G10" t="inlineStr">
        <is>
          <t>MÖRBYLÅNGA</t>
        </is>
      </c>
      <c r="I10" t="n">
        <v>4.1</v>
      </c>
      <c r="J10" t="n">
        <v>1</v>
      </c>
      <c r="K10" t="n">
        <v>4</v>
      </c>
      <c r="L10" t="n">
        <v>6</v>
      </c>
      <c r="M10" t="n">
        <v>3</v>
      </c>
      <c r="N10" t="n">
        <v>5</v>
      </c>
      <c r="O10" t="n">
        <v>0</v>
      </c>
      <c r="P10" t="n">
        <v>0</v>
      </c>
      <c r="Q10" t="n">
        <v>14</v>
      </c>
      <c r="R10" t="n">
        <v>8</v>
      </c>
      <c r="S10" t="n">
        <v>19</v>
      </c>
      <c r="T10" t="n">
        <v>23</v>
      </c>
      <c r="U10" t="n">
        <v>0</v>
      </c>
      <c r="V10" s="2" t="inlineStr">
        <is>
          <t>Ask
Fyllitspindling
Lundalm
Skogsalm
Sötdoftande spindling
Elastisk spindling
Frostspindling
Karamellspindling
Grisspindling
Munkspindling
Pilfotsspindling
Slottsspindling
Vippärt
Vårärt
Lindspindling
Murgröna
Strävlosta
Underviol
Blåsippa</t>
        </is>
      </c>
      <c r="W10">
        <f>HYPERLINK("https://klasma.github.io/Logging_0840/artfynd/S 1766-2026 artfynd.xlsx", "S 1766-2026")</f>
        <v/>
      </c>
      <c r="X10">
        <f>HYPERLINK("https://klasma.github.io/Logging_0840/kartor/S 1766-2026 karta.png", "S 1766-2026")</f>
        <v/>
      </c>
      <c r="Y10">
        <f>HYPERLINK("https://klasma.github.io/Logging_0840/kartor_geotiff/S 1766-2026 georefererad karta.tif", "S 1766-2026")</f>
        <v/>
      </c>
      <c r="AA10">
        <f>HYPERLINK("https://klasma.github.io/Logging_0840/klagomål/S 1766-2026 FSC-klagomål.docx", "S 1766-2026")</f>
        <v/>
      </c>
      <c r="AB10">
        <f>HYPERLINK("https://klasma.github.io/Logging_0840/klagomålsmail/S 1766-2026 FSC-klagomål mail.docx", "S 1766-2026")</f>
        <v/>
      </c>
      <c r="AC10">
        <f>HYPERLINK("https://klasma.github.io/Logging_0840/tillsyn/S 1766-2026 tillsynsbegäran.docx", "S 1766-2026")</f>
        <v/>
      </c>
      <c r="AD10">
        <f>HYPERLINK("https://klasma.github.io/Logging_0840/tillsynsmail/S 1766-2026 tillsynsbegäran mail.docx", "S 1766-2026")</f>
        <v/>
      </c>
    </row>
    <row r="11" ht="15" customHeight="1">
      <c r="A11" t="inlineStr">
        <is>
          <t>A 59540-2023</t>
        </is>
      </c>
      <c r="B11" t="inlineStr">
        <is>
          <t>avverkningsanmälan</t>
        </is>
      </c>
      <c r="C11" t="inlineStr">
        <is>
          <t>Avverkning för annat ändamål</t>
        </is>
      </c>
      <c r="D11" s="1" t="n">
        <v>45254</v>
      </c>
      <c r="E11" s="1" t="n">
        <v>46272</v>
      </c>
      <c r="F11" t="inlineStr">
        <is>
          <t>KALMAR LÄN</t>
        </is>
      </c>
      <c r="G11" t="inlineStr">
        <is>
          <t>MÖRBYLÅNGA</t>
        </is>
      </c>
      <c r="I11" t="n">
        <v>2.8</v>
      </c>
      <c r="J11" t="n">
        <v>16</v>
      </c>
      <c r="K11" t="n">
        <v>0</v>
      </c>
      <c r="L11" t="n">
        <v>6</v>
      </c>
      <c r="M11" t="n">
        <v>2</v>
      </c>
      <c r="N11" t="n">
        <v>0</v>
      </c>
      <c r="O11" t="n">
        <v>0</v>
      </c>
      <c r="P11" t="n">
        <v>0</v>
      </c>
      <c r="Q11" t="n">
        <v>8</v>
      </c>
      <c r="R11" t="n">
        <v>2</v>
      </c>
      <c r="S11" t="n">
        <v>16</v>
      </c>
      <c r="T11" t="n">
        <v>16</v>
      </c>
      <c r="U11" t="n">
        <v>0</v>
      </c>
      <c r="V11" s="2" t="inlineStr">
        <is>
          <t>Grönfink
Tornseglare
Björktrast
Grönsångare
Göktyta
Järnsparv
Rödvingetrast
Sädesärla
Nattskärra
Spillkråka
Gröngöling
Grönsiska
Kungsfågel
Svartvit flugsnappare
Trädlärka
Ärtsångare</t>
        </is>
      </c>
      <c r="W11">
        <f>HYPERLINK("https://klasma.github.io/Logging_0840/artfynd/A 59540-2023 artfynd.xlsx", "A 59540-2023")</f>
        <v/>
      </c>
      <c r="X11">
        <f>HYPERLINK("https://klasma.github.io/Logging_0840/kartor/A 59540-2023 karta.png", "A 59540-2023")</f>
        <v/>
      </c>
      <c r="Y11">
        <f>HYPERLINK("https://klasma.github.io/Logging_0840/kartor_geotiff/A 59540-2023 georefererad karta.tif", "A 59540-2023")</f>
        <v/>
      </c>
      <c r="AA11">
        <f>HYPERLINK("https://klasma.github.io/Logging_0840/klagomål/A 59540-2023 FSC-klagomål.docx", "A 59540-2023")</f>
        <v/>
      </c>
      <c r="AB11">
        <f>HYPERLINK("https://klasma.github.io/Logging_0840/klagomålsmail/A 59540-2023 FSC-klagomål mail.docx", "A 59540-2023")</f>
        <v/>
      </c>
      <c r="AC11">
        <f>HYPERLINK("https://klasma.github.io/Logging_0840/tillsyn/A 59540-2023 tillsynsbegäran.docx", "A 59540-2023")</f>
        <v/>
      </c>
      <c r="AD11">
        <f>HYPERLINK("https://klasma.github.io/Logging_0840/tillsynsmail/A 59540-2023 tillsynsbegäran mail.docx", "A 59540-2023")</f>
        <v/>
      </c>
      <c r="AE11">
        <f>HYPERLINK("https://klasma.github.io/Logging_0840/fåglar/A 59540-2023 prioriterade fågelarter.docx", "A 59540-2023")</f>
        <v/>
      </c>
    </row>
    <row r="12" ht="15" customHeight="1">
      <c r="A12" t="inlineStr">
        <is>
          <t>A 21214-2023</t>
        </is>
      </c>
      <c r="B12" t="inlineStr">
        <is>
          <t>avverkningsanmälan</t>
        </is>
      </c>
      <c r="C12" t="inlineStr">
        <is>
          <t>Föryngringsavverkning</t>
        </is>
      </c>
      <c r="D12" s="1" t="n">
        <v>45062</v>
      </c>
      <c r="E12" s="1" t="n">
        <v>46272</v>
      </c>
      <c r="F12" t="inlineStr">
        <is>
          <t>KALMAR LÄN</t>
        </is>
      </c>
      <c r="G12" t="inlineStr">
        <is>
          <t>MÖRBYLÅNGA</t>
        </is>
      </c>
      <c r="I12" t="n">
        <v>3.5</v>
      </c>
      <c r="J12" t="n">
        <v>4</v>
      </c>
      <c r="K12" t="n">
        <v>6</v>
      </c>
      <c r="L12" t="n">
        <v>5</v>
      </c>
      <c r="M12" t="n">
        <v>0</v>
      </c>
      <c r="N12" t="n">
        <v>0</v>
      </c>
      <c r="O12" t="n">
        <v>0</v>
      </c>
      <c r="P12" t="n">
        <v>0</v>
      </c>
      <c r="Q12" t="n">
        <v>5</v>
      </c>
      <c r="R12" t="n">
        <v>0</v>
      </c>
      <c r="S12" t="n">
        <v>14</v>
      </c>
      <c r="T12" t="n">
        <v>37</v>
      </c>
      <c r="U12" t="n">
        <v>37</v>
      </c>
      <c r="V12" s="2" t="inlineStr">
        <is>
          <t>Grisspindling
Mjölspindling
Svart askbastborre
Sårläka
Tallticka
Guldlockmossa
Hasselticka
Mindre märgborre
Murgröna
Platt fjädermossa
Skogsknipprot
Blåsippa
Spillkråka
Gullviva</t>
        </is>
      </c>
      <c r="W12">
        <f>HYPERLINK("https://klasma.github.io/Logging_0840/artfynd/A 21214-2023 artfynd.xlsx", "A 21214-2023")</f>
        <v/>
      </c>
      <c r="X12">
        <f>HYPERLINK("https://klasma.github.io/Logging_0840/kartor/A 21214-2023 karta.png", "A 21214-2023")</f>
        <v/>
      </c>
      <c r="Y12">
        <f>HYPERLINK("https://klasma.github.io/Logging_0840/kartor_geotiff/A 21214-2023 georefererad karta.tif", "A 21214-2023")</f>
        <v/>
      </c>
      <c r="AA12">
        <f>HYPERLINK("https://klasma.github.io/Logging_0840/klagomål/A 21214-2023 FSC-klagomål.docx", "A 21214-2023")</f>
        <v/>
      </c>
      <c r="AB12">
        <f>HYPERLINK("https://klasma.github.io/Logging_0840/klagomålsmail/A 21214-2023 FSC-klagomål mail.docx", "A 21214-2023")</f>
        <v/>
      </c>
      <c r="AC12">
        <f>HYPERLINK("https://klasma.github.io/Logging_0840/tillsyn/A 21214-2023 tillsynsbegäran.docx", "A 21214-2023")</f>
        <v/>
      </c>
      <c r="AD12">
        <f>HYPERLINK("https://klasma.github.io/Logging_0840/tillsynsmail/A 21214-2023 tillsynsbegäran mail.docx", "A 21214-2023")</f>
        <v/>
      </c>
      <c r="AE12">
        <f>HYPERLINK("https://klasma.github.io/Logging_0840/fåglar/A 21214-2023 prioriterade fågelarter.docx", "A 21214-2023")</f>
        <v/>
      </c>
    </row>
    <row r="13" ht="15" customHeight="1">
      <c r="A13" t="inlineStr">
        <is>
          <t>A 63779-2021</t>
        </is>
      </c>
      <c r="B13" t="inlineStr">
        <is>
          <t>avverkningsanmälan</t>
        </is>
      </c>
      <c r="C13" t="inlineStr">
        <is>
          <t>Avverkning för annat ändamål</t>
        </is>
      </c>
      <c r="D13" s="1" t="n">
        <v>44508</v>
      </c>
      <c r="E13" s="1" t="n">
        <v>46272</v>
      </c>
      <c r="F13" t="inlineStr">
        <is>
          <t>KALMAR LÄN</t>
        </is>
      </c>
      <c r="G13" t="inlineStr">
        <is>
          <t>MÖRBYLÅNGA</t>
        </is>
      </c>
      <c r="I13" t="n">
        <v>5.1</v>
      </c>
      <c r="J13" t="n">
        <v>8</v>
      </c>
      <c r="K13" t="n">
        <v>2</v>
      </c>
      <c r="L13" t="n">
        <v>2</v>
      </c>
      <c r="M13" t="n">
        <v>0</v>
      </c>
      <c r="N13" t="n">
        <v>1</v>
      </c>
      <c r="O13" t="n">
        <v>0</v>
      </c>
      <c r="P13" t="n">
        <v>0</v>
      </c>
      <c r="Q13" t="n">
        <v>3</v>
      </c>
      <c r="R13" t="n">
        <v>1</v>
      </c>
      <c r="S13" t="n">
        <v>12</v>
      </c>
      <c r="T13" t="n">
        <v>16</v>
      </c>
      <c r="U13" t="n">
        <v>8</v>
      </c>
      <c r="V13" s="2" t="inlineStr">
        <is>
          <t>Skogsalm
Entita
Roststumpbagge
Kragjordstjärna
Scharlakansskål
Halsbandsflugsnappare
Havsörn
Kungsfågel
Röd glada
Skogsduva
Huggorm
Kopparödla</t>
        </is>
      </c>
      <c r="W13">
        <f>HYPERLINK("https://klasma.github.io/Logging_0840/artfynd/A 63779-2021 artfynd.xlsx", "A 63779-2021")</f>
        <v/>
      </c>
      <c r="X13">
        <f>HYPERLINK("https://klasma.github.io/Logging_0840/kartor/A 63779-2021 karta.png", "A 63779-2021")</f>
        <v/>
      </c>
      <c r="Y13">
        <f>HYPERLINK("https://klasma.github.io/Logging_0840/kartor_geotiff/A 63779-2021 georefererad karta.tif", "A 63779-2021")</f>
        <v/>
      </c>
      <c r="AA13">
        <f>HYPERLINK("https://klasma.github.io/Logging_0840/klagomål/A 63779-2021 FSC-klagomål.docx", "A 63779-2021")</f>
        <v/>
      </c>
      <c r="AB13">
        <f>HYPERLINK("https://klasma.github.io/Logging_0840/klagomålsmail/A 63779-2021 FSC-klagomål mail.docx", "A 63779-2021")</f>
        <v/>
      </c>
      <c r="AC13">
        <f>HYPERLINK("https://klasma.github.io/Logging_0840/tillsyn/A 63779-2021 tillsynsbegäran.docx", "A 63779-2021")</f>
        <v/>
      </c>
      <c r="AD13">
        <f>HYPERLINK("https://klasma.github.io/Logging_0840/tillsynsmail/A 63779-2021 tillsynsbegäran mail.docx", "A 63779-2021")</f>
        <v/>
      </c>
      <c r="AE13">
        <f>HYPERLINK("https://klasma.github.io/Logging_0840/fåglar/A 63779-2021 prioriterade fågelarter.docx", "A 63779-2021")</f>
        <v/>
      </c>
    </row>
    <row r="14" ht="15" customHeight="1">
      <c r="A14" t="inlineStr">
        <is>
          <t>A 52906-2021</t>
        </is>
      </c>
      <c r="B14" t="inlineStr">
        <is>
          <t>avverkningsanmälan</t>
        </is>
      </c>
      <c r="C14" t="inlineStr">
        <is>
          <t>Föryngringsavverkning</t>
        </is>
      </c>
      <c r="D14" s="1" t="n">
        <v>44467</v>
      </c>
      <c r="E14" s="1" t="n">
        <v>46272</v>
      </c>
      <c r="F14" t="inlineStr">
        <is>
          <t>KALMAR LÄN</t>
        </is>
      </c>
      <c r="G14" t="inlineStr">
        <is>
          <t>MÖRBYLÅNGA</t>
        </is>
      </c>
      <c r="I14" t="n">
        <v>2.1</v>
      </c>
      <c r="J14" t="n">
        <v>5</v>
      </c>
      <c r="K14" t="n">
        <v>2</v>
      </c>
      <c r="L14" t="n">
        <v>4</v>
      </c>
      <c r="M14" t="n">
        <v>2</v>
      </c>
      <c r="N14" t="n">
        <v>1</v>
      </c>
      <c r="O14" t="n">
        <v>0</v>
      </c>
      <c r="P14" t="n">
        <v>0</v>
      </c>
      <c r="Q14" t="n">
        <v>7</v>
      </c>
      <c r="R14" t="n">
        <v>3</v>
      </c>
      <c r="S14" t="n">
        <v>11</v>
      </c>
      <c r="T14" t="n">
        <v>13</v>
      </c>
      <c r="U14" t="n">
        <v>13</v>
      </c>
      <c r="V14" s="2" t="inlineStr">
        <is>
          <t>Beryllspindling
Elastisk spindling
Grönkantad spindling
Gulprickig vaxskivling
Gulsparv
Järnsparv
Rödvingetrast
Lindspindling
Murgröna
Blåsippa
Näktergal</t>
        </is>
      </c>
      <c r="W14">
        <f>HYPERLINK("https://klasma.github.io/Logging_0840/artfynd/A 52906-2021 artfynd.xlsx", "A 52906-2021")</f>
        <v/>
      </c>
      <c r="X14">
        <f>HYPERLINK("https://klasma.github.io/Logging_0840/kartor/A 52906-2021 karta.png", "A 52906-2021")</f>
        <v/>
      </c>
      <c r="Y14">
        <f>HYPERLINK("https://klasma.github.io/Logging_0840/kartor_geotiff/A 52906-2021 georefererad karta.tif", "A 52906-2021")</f>
        <v/>
      </c>
      <c r="AA14">
        <f>HYPERLINK("https://klasma.github.io/Logging_0840/klagomål/A 52906-2021 FSC-klagomål.docx", "A 52906-2021")</f>
        <v/>
      </c>
      <c r="AB14">
        <f>HYPERLINK("https://klasma.github.io/Logging_0840/klagomålsmail/A 52906-2021 FSC-klagomål mail.docx", "A 52906-2021")</f>
        <v/>
      </c>
      <c r="AC14">
        <f>HYPERLINK("https://klasma.github.io/Logging_0840/tillsyn/A 52906-2021 tillsynsbegäran.docx", "A 52906-2021")</f>
        <v/>
      </c>
      <c r="AD14">
        <f>HYPERLINK("https://klasma.github.io/Logging_0840/tillsynsmail/A 52906-2021 tillsynsbegäran mail.docx", "A 52906-2021")</f>
        <v/>
      </c>
      <c r="AE14">
        <f>HYPERLINK("https://klasma.github.io/Logging_0840/fåglar/A 52906-2021 prioriterade fågelarter.docx", "A 52906-2021")</f>
        <v/>
      </c>
    </row>
    <row r="15" ht="15" customHeight="1">
      <c r="A15" t="inlineStr">
        <is>
          <t>A 60875-2025</t>
        </is>
      </c>
      <c r="B15" t="inlineStr">
        <is>
          <t>avverkningsanmälan</t>
        </is>
      </c>
      <c r="C15" t="inlineStr">
        <is>
          <t>Föryngringsavverkning</t>
        </is>
      </c>
      <c r="D15" s="1" t="n">
        <v>45999</v>
      </c>
      <c r="E15" s="1" t="n">
        <v>46272</v>
      </c>
      <c r="F15" t="inlineStr">
        <is>
          <t>KALMAR LÄN</t>
        </is>
      </c>
      <c r="G15" t="inlineStr">
        <is>
          <t>MÖRBYLÅNGA</t>
        </is>
      </c>
      <c r="I15" t="n">
        <v>2.1</v>
      </c>
      <c r="J15" t="n">
        <v>8</v>
      </c>
      <c r="K15" t="n">
        <v>1</v>
      </c>
      <c r="L15" t="n">
        <v>5</v>
      </c>
      <c r="M15" t="n">
        <v>0</v>
      </c>
      <c r="N15" t="n">
        <v>1</v>
      </c>
      <c r="O15" t="n">
        <v>1</v>
      </c>
      <c r="P15" t="n">
        <v>0</v>
      </c>
      <c r="Q15" t="n">
        <v>7</v>
      </c>
      <c r="R15" t="n">
        <v>2</v>
      </c>
      <c r="S15" t="n">
        <v>11</v>
      </c>
      <c r="T15" t="n">
        <v>12</v>
      </c>
      <c r="U15" t="n">
        <v>3</v>
      </c>
      <c r="V15" s="2" t="inlineStr">
        <is>
          <t>Järnek
Mosippa
Grönsångare
Gulsparv
Göktyta
Mindre hackspett
Svinrot
Murgröna
Spillkråka
Kråka
Skogsduva</t>
        </is>
      </c>
      <c r="W15">
        <f>HYPERLINK("https://klasma.github.io/Logging_0840/artfynd/A 60875-2025 artfynd.xlsx", "A 60875-2025")</f>
        <v/>
      </c>
      <c r="X15">
        <f>HYPERLINK("https://klasma.github.io/Logging_0840/kartor/A 60875-2025 karta.png", "A 60875-2025")</f>
        <v/>
      </c>
      <c r="Y15">
        <f>HYPERLINK("https://klasma.github.io/Logging_0840/kartor_geotiff/A 60875-2025 georefererad karta.tif", "A 60875-2025")</f>
        <v/>
      </c>
      <c r="AA15">
        <f>HYPERLINK("https://klasma.github.io/Logging_0840/klagomål/A 60875-2025 FSC-klagomål.docx", "A 60875-2025")</f>
        <v/>
      </c>
      <c r="AB15">
        <f>HYPERLINK("https://klasma.github.io/Logging_0840/klagomålsmail/A 60875-2025 FSC-klagomål mail.docx", "A 60875-2025")</f>
        <v/>
      </c>
      <c r="AC15">
        <f>HYPERLINK("https://klasma.github.io/Logging_0840/tillsyn/A 60875-2025 tillsynsbegäran.docx", "A 60875-2025")</f>
        <v/>
      </c>
      <c r="AD15">
        <f>HYPERLINK("https://klasma.github.io/Logging_0840/tillsynsmail/A 60875-2025 tillsynsbegäran mail.docx", "A 60875-2025")</f>
        <v/>
      </c>
      <c r="AE15">
        <f>HYPERLINK("https://klasma.github.io/Logging_0840/fåglar/A 60875-2025 prioriterade fågelarter.docx", "A 60875-2025")</f>
        <v/>
      </c>
    </row>
    <row r="16" ht="15" customHeight="1">
      <c r="A16" t="inlineStr">
        <is>
          <t>A 24778-2022</t>
        </is>
      </c>
      <c r="B16" t="inlineStr">
        <is>
          <t>avverkningsanmälan</t>
        </is>
      </c>
      <c r="C16" t="inlineStr">
        <is>
          <t>Föryngringsavverkning</t>
        </is>
      </c>
      <c r="D16" s="1" t="n">
        <v>44728</v>
      </c>
      <c r="E16" s="1" t="n">
        <v>46272</v>
      </c>
      <c r="F16" t="inlineStr">
        <is>
          <t>KALMAR LÄN</t>
        </is>
      </c>
      <c r="G16" t="inlineStr">
        <is>
          <t>MÖRBYLÅNGA</t>
        </is>
      </c>
      <c r="I16" t="n">
        <v>1</v>
      </c>
      <c r="J16" t="n">
        <v>1</v>
      </c>
      <c r="K16" t="n">
        <v>2</v>
      </c>
      <c r="L16" t="n">
        <v>7</v>
      </c>
      <c r="M16" t="n">
        <v>0</v>
      </c>
      <c r="N16" t="n">
        <v>1</v>
      </c>
      <c r="O16" t="n">
        <v>0</v>
      </c>
      <c r="P16" t="n">
        <v>0</v>
      </c>
      <c r="Q16" t="n">
        <v>8</v>
      </c>
      <c r="R16" t="n">
        <v>1</v>
      </c>
      <c r="S16" t="n">
        <v>11</v>
      </c>
      <c r="T16" t="n">
        <v>20</v>
      </c>
      <c r="U16" t="n">
        <v>20</v>
      </c>
      <c r="V16" s="2" t="inlineStr">
        <is>
          <t>Tofsäxing
Backtimjan
Flentimotej
Grådådra
Poppeltofsskivling
Slåtterfibbla
Sminkrot
Solvända
Kalktallört
Murgröna
Blåsippa</t>
        </is>
      </c>
      <c r="W16">
        <f>HYPERLINK("https://klasma.github.io/Logging_0840/artfynd/A 24778-2022 artfynd.xlsx", "A 24778-2022")</f>
        <v/>
      </c>
      <c r="X16">
        <f>HYPERLINK("https://klasma.github.io/Logging_0840/kartor/A 24778-2022 karta.png", "A 24778-2022")</f>
        <v/>
      </c>
      <c r="Y16">
        <f>HYPERLINK("https://klasma.github.io/Logging_0840/kartor_geotiff/A 24778-2022 georefererad karta.tif", "A 24778-2022")</f>
        <v/>
      </c>
      <c r="AA16">
        <f>HYPERLINK("https://klasma.github.io/Logging_0840/klagomål/A 24778-2022 FSC-klagomål.docx", "A 24778-2022")</f>
        <v/>
      </c>
      <c r="AB16">
        <f>HYPERLINK("https://klasma.github.io/Logging_0840/klagomålsmail/A 24778-2022 FSC-klagomål mail.docx", "A 24778-2022")</f>
        <v/>
      </c>
      <c r="AC16">
        <f>HYPERLINK("https://klasma.github.io/Logging_0840/tillsyn/A 24778-2022 tillsynsbegäran.docx", "A 24778-2022")</f>
        <v/>
      </c>
      <c r="AD16">
        <f>HYPERLINK("https://klasma.github.io/Logging_0840/tillsynsmail/A 24778-2022 tillsynsbegäran mail.docx", "A 24778-2022")</f>
        <v/>
      </c>
    </row>
    <row r="17" ht="15" customHeight="1">
      <c r="A17" t="inlineStr">
        <is>
          <t>A 38039-2022</t>
        </is>
      </c>
      <c r="B17" t="inlineStr">
        <is>
          <t>avverkningsanmälan</t>
        </is>
      </c>
      <c r="C17" t="inlineStr">
        <is>
          <t>Avverkning för annat ändamål</t>
        </is>
      </c>
      <c r="D17" s="1" t="n">
        <v>44811</v>
      </c>
      <c r="E17" s="1" t="n">
        <v>46272</v>
      </c>
      <c r="F17" t="inlineStr">
        <is>
          <t>KALMAR LÄN</t>
        </is>
      </c>
      <c r="G17" t="inlineStr">
        <is>
          <t>MÖRBYLÅNGA</t>
        </is>
      </c>
      <c r="I17" t="n">
        <v>7.4</v>
      </c>
      <c r="J17" t="n">
        <v>4</v>
      </c>
      <c r="K17" t="n">
        <v>1</v>
      </c>
      <c r="L17" t="n">
        <v>4</v>
      </c>
      <c r="M17" t="n">
        <v>1</v>
      </c>
      <c r="N17" t="n">
        <v>1</v>
      </c>
      <c r="O17" t="n">
        <v>0</v>
      </c>
      <c r="P17" t="n">
        <v>0</v>
      </c>
      <c r="Q17" t="n">
        <v>6</v>
      </c>
      <c r="R17" t="n">
        <v>2</v>
      </c>
      <c r="S17" t="n">
        <v>11</v>
      </c>
      <c r="T17" t="n">
        <v>13</v>
      </c>
      <c r="U17" t="n">
        <v>12</v>
      </c>
      <c r="V17" s="2" t="inlineStr">
        <is>
          <t>Ask
Grov gulmossa
Backtimjan
Dvärgjordstjärna
Solvända
Ängsstarr
Murgröna
Alvarmalört
Grönvit nattviol
Krutbrännare
Gullviva</t>
        </is>
      </c>
      <c r="W17">
        <f>HYPERLINK("https://klasma.github.io/Logging_0840/artfynd/A 38039-2022 artfynd.xlsx", "A 38039-2022")</f>
        <v/>
      </c>
      <c r="X17">
        <f>HYPERLINK("https://klasma.github.io/Logging_0840/kartor/A 38039-2022 karta.png", "A 38039-2022")</f>
        <v/>
      </c>
      <c r="Y17">
        <f>HYPERLINK("https://klasma.github.io/Logging_0840/kartor_geotiff/A 38039-2022 georefererad karta.tif", "A 38039-2022")</f>
        <v/>
      </c>
      <c r="AA17">
        <f>HYPERLINK("https://klasma.github.io/Logging_0840/klagomål/A 38039-2022 FSC-klagomål.docx", "A 38039-2022")</f>
        <v/>
      </c>
      <c r="AB17">
        <f>HYPERLINK("https://klasma.github.io/Logging_0840/klagomålsmail/A 38039-2022 FSC-klagomål mail.docx", "A 38039-2022")</f>
        <v/>
      </c>
      <c r="AC17">
        <f>HYPERLINK("https://klasma.github.io/Logging_0840/tillsyn/A 38039-2022 tillsynsbegäran.docx", "A 38039-2022")</f>
        <v/>
      </c>
      <c r="AD17">
        <f>HYPERLINK("https://klasma.github.io/Logging_0840/tillsynsmail/A 38039-2022 tillsynsbegäran mail.docx", "A 38039-2022")</f>
        <v/>
      </c>
    </row>
    <row r="18" ht="15" customHeight="1">
      <c r="A18" t="inlineStr">
        <is>
          <t>A 27636-2023</t>
        </is>
      </c>
      <c r="B18" t="inlineStr">
        <is>
          <t>avverkningsanmälan</t>
        </is>
      </c>
      <c r="C18" t="inlineStr">
        <is>
          <t>Avverkning för annat ändamål</t>
        </is>
      </c>
      <c r="D18" s="1" t="n">
        <v>45097</v>
      </c>
      <c r="E18" s="1" t="n">
        <v>46272</v>
      </c>
      <c r="F18" t="inlineStr">
        <is>
          <t>KALMAR LÄN</t>
        </is>
      </c>
      <c r="G18" t="inlineStr">
        <is>
          <t>MÖRBYLÅNGA</t>
        </is>
      </c>
      <c r="I18" t="n">
        <v>7.4</v>
      </c>
      <c r="J18" t="n">
        <v>4</v>
      </c>
      <c r="K18" t="n">
        <v>1</v>
      </c>
      <c r="L18" t="n">
        <v>4</v>
      </c>
      <c r="M18" t="n">
        <v>1</v>
      </c>
      <c r="N18" t="n">
        <v>1</v>
      </c>
      <c r="O18" t="n">
        <v>0</v>
      </c>
      <c r="P18" t="n">
        <v>0</v>
      </c>
      <c r="Q18" t="n">
        <v>6</v>
      </c>
      <c r="R18" t="n">
        <v>2</v>
      </c>
      <c r="S18" t="n">
        <v>11</v>
      </c>
      <c r="T18" t="n">
        <v>13</v>
      </c>
      <c r="U18" t="n">
        <v>11</v>
      </c>
      <c r="V18" s="2" t="inlineStr">
        <is>
          <t>Ask
Grov gulmossa
Backtimjan
Dvärgjordstjärna
Solvända
Ängsstarr
Murgröna
Alvarmalört
Grönvit nattviol
Krutbrännare
Gullviva</t>
        </is>
      </c>
      <c r="W18">
        <f>HYPERLINK("https://klasma.github.io/Logging_0840/artfynd/A 27636-2023 artfynd.xlsx", "A 27636-2023")</f>
        <v/>
      </c>
      <c r="X18">
        <f>HYPERLINK("https://klasma.github.io/Logging_0840/kartor/A 27636-2023 karta.png", "A 27636-2023")</f>
        <v/>
      </c>
      <c r="Y18">
        <f>HYPERLINK("https://klasma.github.io/Logging_0840/kartor_geotiff/A 27636-2023 georefererad karta.tif", "A 27636-2023")</f>
        <v/>
      </c>
      <c r="AA18">
        <f>HYPERLINK("https://klasma.github.io/Logging_0840/klagomål/A 27636-2023 FSC-klagomål.docx", "A 27636-2023")</f>
        <v/>
      </c>
      <c r="AB18">
        <f>HYPERLINK("https://klasma.github.io/Logging_0840/klagomålsmail/A 27636-2023 FSC-klagomål mail.docx", "A 27636-2023")</f>
        <v/>
      </c>
      <c r="AC18">
        <f>HYPERLINK("https://klasma.github.io/Logging_0840/tillsyn/A 27636-2023 tillsynsbegäran.docx", "A 27636-2023")</f>
        <v/>
      </c>
      <c r="AD18">
        <f>HYPERLINK("https://klasma.github.io/Logging_0840/tillsynsmail/A 27636-2023 tillsynsbegäran mail.docx", "A 27636-2023")</f>
        <v/>
      </c>
    </row>
    <row r="19" ht="15" customHeight="1">
      <c r="A19" t="inlineStr">
        <is>
          <t>A 39320-2024</t>
        </is>
      </c>
      <c r="B19" t="inlineStr">
        <is>
          <t>avverkningsanmälan</t>
        </is>
      </c>
      <c r="C19" t="inlineStr">
        <is>
          <t>Avverkning för annat ändamål</t>
        </is>
      </c>
      <c r="D19" s="1" t="n">
        <v>45551</v>
      </c>
      <c r="E19" s="1" t="n">
        <v>46272</v>
      </c>
      <c r="F19" t="inlineStr">
        <is>
          <t>KALMAR LÄN</t>
        </is>
      </c>
      <c r="G19" t="inlineStr">
        <is>
          <t>MÖRBYLÅNGA</t>
        </is>
      </c>
      <c r="I19" t="n">
        <v>3.3</v>
      </c>
      <c r="J19" t="n">
        <v>1</v>
      </c>
      <c r="K19" t="n">
        <v>2</v>
      </c>
      <c r="L19" t="n">
        <v>4</v>
      </c>
      <c r="M19" t="n">
        <v>1</v>
      </c>
      <c r="N19" t="n">
        <v>1</v>
      </c>
      <c r="O19" t="n">
        <v>1</v>
      </c>
      <c r="P19" t="n">
        <v>0</v>
      </c>
      <c r="Q19" t="n">
        <v>7</v>
      </c>
      <c r="R19" t="n">
        <v>3</v>
      </c>
      <c r="S19" t="n">
        <v>10</v>
      </c>
      <c r="T19" t="n">
        <v>11</v>
      </c>
      <c r="U19" t="n">
        <v>10</v>
      </c>
      <c r="V19" s="2" t="inlineStr">
        <is>
          <t>Vresalm
Lundalm
Toppjungfrulin
Gulprickig vaxskivling
Korskovall
Sårläka
Vårärt
Strävlosta
Underviol
Skogsduva</t>
        </is>
      </c>
      <c r="W19">
        <f>HYPERLINK("https://klasma.github.io/Logging_0840/artfynd/A 39320-2024 artfynd.xlsx", "A 39320-2024")</f>
        <v/>
      </c>
      <c r="X19">
        <f>HYPERLINK("https://klasma.github.io/Logging_0840/kartor/A 39320-2024 karta.png", "A 39320-2024")</f>
        <v/>
      </c>
      <c r="Y19">
        <f>HYPERLINK("https://klasma.github.io/Logging_0840/kartor_geotiff/A 39320-2024 georefererad karta.tif", "A 39320-2024")</f>
        <v/>
      </c>
      <c r="AA19">
        <f>HYPERLINK("https://klasma.github.io/Logging_0840/klagomål/A 39320-2024 FSC-klagomål.docx", "A 39320-2024")</f>
        <v/>
      </c>
      <c r="AB19">
        <f>HYPERLINK("https://klasma.github.io/Logging_0840/klagomålsmail/A 39320-2024 FSC-klagomål mail.docx", "A 39320-2024")</f>
        <v/>
      </c>
      <c r="AC19">
        <f>HYPERLINK("https://klasma.github.io/Logging_0840/tillsyn/A 39320-2024 tillsynsbegäran.docx", "A 39320-2024")</f>
        <v/>
      </c>
      <c r="AD19">
        <f>HYPERLINK("https://klasma.github.io/Logging_0840/tillsynsmail/A 39320-2024 tillsynsbegäran mail.docx", "A 39320-2024")</f>
        <v/>
      </c>
    </row>
    <row r="20" ht="15" customHeight="1">
      <c r="A20" t="inlineStr">
        <is>
          <t>S 1122-2022</t>
        </is>
      </c>
      <c r="B20" t="inlineStr">
        <is>
          <t>samrådsanmälan</t>
        </is>
      </c>
      <c r="C20" t="inlineStr">
        <is>
          <t>Annan skogsbruksåtgärd</t>
        </is>
      </c>
      <c r="D20" s="1" t="n">
        <v>44616</v>
      </c>
      <c r="E20" s="1" t="n">
        <v>46272</v>
      </c>
      <c r="F20" t="inlineStr">
        <is>
          <t>KALMAR LÄN</t>
        </is>
      </c>
      <c r="G20" t="inlineStr">
        <is>
          <t>MÖRBYLÅNGA</t>
        </is>
      </c>
      <c r="I20" t="n">
        <v>2.6</v>
      </c>
      <c r="J20" t="n">
        <v>2</v>
      </c>
      <c r="K20" t="n">
        <v>3</v>
      </c>
      <c r="L20" t="n">
        <v>3</v>
      </c>
      <c r="M20" t="n">
        <v>0</v>
      </c>
      <c r="N20" t="n">
        <v>3</v>
      </c>
      <c r="O20" t="n">
        <v>0</v>
      </c>
      <c r="P20" t="n">
        <v>0</v>
      </c>
      <c r="Q20" t="n">
        <v>6</v>
      </c>
      <c r="R20" t="n">
        <v>3</v>
      </c>
      <c r="S20" t="n">
        <v>10</v>
      </c>
      <c r="T20" t="n">
        <v>16</v>
      </c>
      <c r="U20" t="n">
        <v>15</v>
      </c>
      <c r="V20" s="2" t="inlineStr">
        <is>
          <t>Ask
Lundalm
Skogsalm
Desmeknopp
Ängsskära
Åkerkulla
Hässleklocka
Tvåblad
Underviol
Sankt pers nycklar</t>
        </is>
      </c>
      <c r="W20">
        <f>HYPERLINK("https://klasma.github.io/Logging_0840/artfynd/S 1122-2022 artfynd.xlsx", "S 1122-2022")</f>
        <v/>
      </c>
      <c r="X20">
        <f>HYPERLINK("https://klasma.github.io/Logging_0840/kartor/S 1122-2022 karta.png", "S 1122-2022")</f>
        <v/>
      </c>
      <c r="Y20">
        <f>HYPERLINK("https://klasma.github.io/Logging_0840/kartor_geotiff/S 1122-2022 georefererad karta.tif", "S 1122-2022")</f>
        <v/>
      </c>
      <c r="AA20">
        <f>HYPERLINK("https://klasma.github.io/Logging_0840/klagomål/S 1122-2022 FSC-klagomål.docx", "S 1122-2022")</f>
        <v/>
      </c>
      <c r="AB20">
        <f>HYPERLINK("https://klasma.github.io/Logging_0840/klagomålsmail/S 1122-2022 FSC-klagomål mail.docx", "S 1122-2022")</f>
        <v/>
      </c>
      <c r="AC20">
        <f>HYPERLINK("https://klasma.github.io/Logging_0840/tillsyn/S 1122-2022 tillsynsbegäran.docx", "S 1122-2022")</f>
        <v/>
      </c>
      <c r="AD20">
        <f>HYPERLINK("https://klasma.github.io/Logging_0840/tillsynsmail/S 1122-2022 tillsynsbegäran mail.docx", "S 1122-2022")</f>
        <v/>
      </c>
    </row>
    <row r="21" ht="15" customHeight="1">
      <c r="A21" t="inlineStr">
        <is>
          <t>S 929-2023</t>
        </is>
      </c>
      <c r="B21" t="inlineStr">
        <is>
          <t>samrådsanmälan</t>
        </is>
      </c>
      <c r="C21" t="inlineStr">
        <is>
          <t>Annan skogsbruksåtgärd</t>
        </is>
      </c>
      <c r="D21" s="1" t="n">
        <v>45000</v>
      </c>
      <c r="E21" s="1" t="n">
        <v>46272</v>
      </c>
      <c r="F21" t="inlineStr">
        <is>
          <t>KALMAR LÄN</t>
        </is>
      </c>
      <c r="G21" t="inlineStr">
        <is>
          <t>MÖRBYLÅNGA</t>
        </is>
      </c>
      <c r="I21" t="n">
        <v>4.7</v>
      </c>
      <c r="J21" t="n">
        <v>4</v>
      </c>
      <c r="K21" t="n">
        <v>2</v>
      </c>
      <c r="L21" t="n">
        <v>3</v>
      </c>
      <c r="M21" t="n">
        <v>3</v>
      </c>
      <c r="N21" t="n">
        <v>0</v>
      </c>
      <c r="O21" t="n">
        <v>0</v>
      </c>
      <c r="P21" t="n">
        <v>0</v>
      </c>
      <c r="Q21" t="n">
        <v>6</v>
      </c>
      <c r="R21" t="n">
        <v>3</v>
      </c>
      <c r="S21" t="n">
        <v>9</v>
      </c>
      <c r="T21" t="n">
        <v>11</v>
      </c>
      <c r="U21" t="n">
        <v>7</v>
      </c>
      <c r="V21" s="2" t="inlineStr">
        <is>
          <t>Liten jordstjärna
Stare
Stortimjan
Göktyta
Hedröksvamp
Vårstarr
Ekoxe
Murgröna
Kopparödla</t>
        </is>
      </c>
      <c r="W21">
        <f>HYPERLINK("https://klasma.github.io/Logging_0840/artfynd/S 929-2023 artfynd.xlsx", "S 929-2023")</f>
        <v/>
      </c>
      <c r="X21">
        <f>HYPERLINK("https://klasma.github.io/Logging_0840/kartor/S 929-2023 karta.png", "S 929-2023")</f>
        <v/>
      </c>
      <c r="Y21">
        <f>HYPERLINK("https://klasma.github.io/Logging_0840/kartor_geotiff/S 929-2023 georefererad karta.tif", "S 929-2023")</f>
        <v/>
      </c>
      <c r="AA21">
        <f>HYPERLINK("https://klasma.github.io/Logging_0840/klagomål/S 929-2023 FSC-klagomål.docx", "S 929-2023")</f>
        <v/>
      </c>
      <c r="AB21">
        <f>HYPERLINK("https://klasma.github.io/Logging_0840/klagomålsmail/S 929-2023 FSC-klagomål mail.docx", "S 929-2023")</f>
        <v/>
      </c>
      <c r="AC21">
        <f>HYPERLINK("https://klasma.github.io/Logging_0840/tillsyn/S 929-2023 tillsynsbegäran.docx", "S 929-2023")</f>
        <v/>
      </c>
      <c r="AD21">
        <f>HYPERLINK("https://klasma.github.io/Logging_0840/tillsynsmail/S 929-2023 tillsynsbegäran mail.docx", "S 929-2023")</f>
        <v/>
      </c>
      <c r="AE21">
        <f>HYPERLINK("https://klasma.github.io/Logging_0840/fåglar/S 929-2023 prioriterade fågelarter.docx", "S 929-2023")</f>
        <v/>
      </c>
    </row>
    <row r="22" ht="15" customHeight="1">
      <c r="A22" t="inlineStr">
        <is>
          <t>A 35242-2024</t>
        </is>
      </c>
      <c r="B22" t="inlineStr">
        <is>
          <t>avverkningsanmälan</t>
        </is>
      </c>
      <c r="C22" t="inlineStr">
        <is>
          <t>Föryngringsavverkning</t>
        </is>
      </c>
      <c r="D22" s="1" t="n">
        <v>45530</v>
      </c>
      <c r="E22" s="1" t="n">
        <v>46272</v>
      </c>
      <c r="F22" t="inlineStr">
        <is>
          <t>KALMAR LÄN</t>
        </is>
      </c>
      <c r="G22" t="inlineStr">
        <is>
          <t>MÖRBYLÅNGA</t>
        </is>
      </c>
      <c r="I22" t="n">
        <v>0.9</v>
      </c>
      <c r="J22" t="n">
        <v>2</v>
      </c>
      <c r="K22" t="n">
        <v>3</v>
      </c>
      <c r="L22" t="n">
        <v>0</v>
      </c>
      <c r="M22" t="n">
        <v>3</v>
      </c>
      <c r="N22" t="n">
        <v>1</v>
      </c>
      <c r="O22" t="n">
        <v>0</v>
      </c>
      <c r="P22" t="n">
        <v>0</v>
      </c>
      <c r="Q22" t="n">
        <v>4</v>
      </c>
      <c r="R22" t="n">
        <v>4</v>
      </c>
      <c r="S22" t="n">
        <v>8</v>
      </c>
      <c r="T22" t="n">
        <v>12</v>
      </c>
      <c r="U22" t="n">
        <v>6</v>
      </c>
      <c r="V22" s="2" t="inlineStr">
        <is>
          <t>Sandgeting
Liten diskröksvamp
Naveljordstjärna
Ryl
Grönpyrola
Murgröna
Skogsknipprot
Blåsippa</t>
        </is>
      </c>
      <c r="W22">
        <f>HYPERLINK("https://klasma.github.io/Logging_0840/artfynd/A 35242-2024 artfynd.xlsx", "A 35242-2024")</f>
        <v/>
      </c>
      <c r="X22">
        <f>HYPERLINK("https://klasma.github.io/Logging_0840/kartor/A 35242-2024 karta.png", "A 35242-2024")</f>
        <v/>
      </c>
      <c r="Y22">
        <f>HYPERLINK("https://klasma.github.io/Logging_0840/kartor_geotiff/A 35242-2024 georefererad karta.tif", "A 35242-2024")</f>
        <v/>
      </c>
      <c r="Z22">
        <f>HYPERLINK("https://klasma.github.io/Logging_0840/knärot/A 35242-2024 karta knärot.png", "A 35242-2024")</f>
        <v/>
      </c>
      <c r="AA22">
        <f>HYPERLINK("https://klasma.github.io/Logging_0840/klagomål/A 35242-2024 FSC-klagomål.docx", "A 35242-2024")</f>
        <v/>
      </c>
      <c r="AB22">
        <f>HYPERLINK("https://klasma.github.io/Logging_0840/klagomålsmail/A 35242-2024 FSC-klagomål mail.docx", "A 35242-2024")</f>
        <v/>
      </c>
      <c r="AC22">
        <f>HYPERLINK("https://klasma.github.io/Logging_0840/tillsyn/A 35242-2024 tillsynsbegäran.docx", "A 35242-2024")</f>
        <v/>
      </c>
      <c r="AD22">
        <f>HYPERLINK("https://klasma.github.io/Logging_0840/tillsynsmail/A 35242-2024 tillsynsbegäran mail.docx", "A 35242-2024")</f>
        <v/>
      </c>
    </row>
    <row r="23" ht="15" customHeight="1">
      <c r="A23" t="inlineStr">
        <is>
          <t>S 3773-2023</t>
        </is>
      </c>
      <c r="B23" t="inlineStr">
        <is>
          <t>samrådsanmälan</t>
        </is>
      </c>
      <c r="C23" t="inlineStr">
        <is>
          <t>Annan skogsbruksåtgärd</t>
        </is>
      </c>
      <c r="D23" s="1" t="n">
        <v>45223</v>
      </c>
      <c r="E23" s="1" t="n">
        <v>46272</v>
      </c>
      <c r="F23" t="inlineStr">
        <is>
          <t>KALMAR LÄN</t>
        </is>
      </c>
      <c r="G23" t="inlineStr">
        <is>
          <t>MÖRBYLÅNGA</t>
        </is>
      </c>
      <c r="I23" t="n">
        <v>0.3</v>
      </c>
      <c r="J23" t="n">
        <v>2</v>
      </c>
      <c r="K23" t="n">
        <v>1</v>
      </c>
      <c r="L23" t="n">
        <v>3</v>
      </c>
      <c r="M23" t="n">
        <v>0</v>
      </c>
      <c r="N23" t="n">
        <v>2</v>
      </c>
      <c r="O23" t="n">
        <v>0</v>
      </c>
      <c r="P23" t="n">
        <v>0</v>
      </c>
      <c r="Q23" t="n">
        <v>5</v>
      </c>
      <c r="R23" t="n">
        <v>2</v>
      </c>
      <c r="S23" t="n">
        <v>8</v>
      </c>
      <c r="T23" t="n">
        <v>9</v>
      </c>
      <c r="U23" t="n">
        <v>9</v>
      </c>
      <c r="V23" s="2" t="inlineStr">
        <is>
          <t>Ask
Lundalm
Sårläka
Vippärt
Ängsskära
Murgröna
Blåsippa
Gullviva</t>
        </is>
      </c>
      <c r="W23">
        <f>HYPERLINK("https://klasma.github.io/Logging_0840/artfynd/S 3773-2023 artfynd.xlsx", "S 3773-2023")</f>
        <v/>
      </c>
      <c r="X23">
        <f>HYPERLINK("https://klasma.github.io/Logging_0840/kartor/S 3773-2023 karta.png", "S 3773-2023")</f>
        <v/>
      </c>
      <c r="Y23">
        <f>HYPERLINK("https://klasma.github.io/Logging_0840/kartor_geotiff/S 3773-2023 georefererad karta.tif", "S 3773-2023")</f>
        <v/>
      </c>
      <c r="AA23">
        <f>HYPERLINK("https://klasma.github.io/Logging_0840/klagomål/S 3773-2023 FSC-klagomål.docx", "S 3773-2023")</f>
        <v/>
      </c>
      <c r="AB23">
        <f>HYPERLINK("https://klasma.github.io/Logging_0840/klagomålsmail/S 3773-2023 FSC-klagomål mail.docx", "S 3773-2023")</f>
        <v/>
      </c>
      <c r="AC23">
        <f>HYPERLINK("https://klasma.github.io/Logging_0840/tillsyn/S 3773-2023 tillsynsbegäran.docx", "S 3773-2023")</f>
        <v/>
      </c>
      <c r="AD23">
        <f>HYPERLINK("https://klasma.github.io/Logging_0840/tillsynsmail/S 3773-2023 tillsynsbegäran mail.docx", "S 3773-2023")</f>
        <v/>
      </c>
    </row>
    <row r="24" ht="15" customHeight="1">
      <c r="A24" t="inlineStr">
        <is>
          <t>S 1833-2023</t>
        </is>
      </c>
      <c r="B24" t="inlineStr">
        <is>
          <t>samrådsanmälan</t>
        </is>
      </c>
      <c r="C24" t="inlineStr">
        <is>
          <t>Annan skogsbruksåtgärd</t>
        </is>
      </c>
      <c r="D24" s="1" t="n">
        <v>45075</v>
      </c>
      <c r="E24" s="1" t="n">
        <v>46272</v>
      </c>
      <c r="F24" t="inlineStr">
        <is>
          <t>KALMAR LÄN</t>
        </is>
      </c>
      <c r="G24" t="inlineStr">
        <is>
          <t>MÖRBYLÅNGA</t>
        </is>
      </c>
      <c r="I24" t="n">
        <v>0.4</v>
      </c>
      <c r="J24" t="n">
        <v>3</v>
      </c>
      <c r="K24" t="n">
        <v>2</v>
      </c>
      <c r="L24" t="n">
        <v>3</v>
      </c>
      <c r="M24" t="n">
        <v>0</v>
      </c>
      <c r="N24" t="n">
        <v>0</v>
      </c>
      <c r="O24" t="n">
        <v>0</v>
      </c>
      <c r="P24" t="n">
        <v>0</v>
      </c>
      <c r="Q24" t="n">
        <v>3</v>
      </c>
      <c r="R24" t="n">
        <v>0</v>
      </c>
      <c r="S24" t="n">
        <v>8</v>
      </c>
      <c r="T24" t="n">
        <v>11</v>
      </c>
      <c r="U24" t="n">
        <v>10</v>
      </c>
      <c r="V24" s="2" t="inlineStr">
        <is>
          <t>Sårläka
Vippärt
Ängsskära
Murgröna
Vätteros
Blåsippa
Sankt pers nycklar
Gullviva</t>
        </is>
      </c>
      <c r="W24">
        <f>HYPERLINK("https://klasma.github.io/Logging_0840/artfynd/S 1833-2023 artfynd.xlsx", "S 1833-2023")</f>
        <v/>
      </c>
      <c r="X24">
        <f>HYPERLINK("https://klasma.github.io/Logging_0840/kartor/S 1833-2023 karta.png", "S 1833-2023")</f>
        <v/>
      </c>
      <c r="Y24">
        <f>HYPERLINK("https://klasma.github.io/Logging_0840/kartor_geotiff/S 1833-2023 georefererad karta.tif", "S 1833-2023")</f>
        <v/>
      </c>
      <c r="AA24">
        <f>HYPERLINK("https://klasma.github.io/Logging_0840/klagomål/S 1833-2023 FSC-klagomål.docx", "S 1833-2023")</f>
        <v/>
      </c>
      <c r="AB24">
        <f>HYPERLINK("https://klasma.github.io/Logging_0840/klagomålsmail/S 1833-2023 FSC-klagomål mail.docx", "S 1833-2023")</f>
        <v/>
      </c>
      <c r="AC24">
        <f>HYPERLINK("https://klasma.github.io/Logging_0840/tillsyn/S 1833-2023 tillsynsbegäran.docx", "S 1833-2023")</f>
        <v/>
      </c>
      <c r="AD24">
        <f>HYPERLINK("https://klasma.github.io/Logging_0840/tillsynsmail/S 1833-2023 tillsynsbegäran mail.docx", "S 1833-2023")</f>
        <v/>
      </c>
    </row>
    <row r="25" ht="15" customHeight="1">
      <c r="A25" t="inlineStr">
        <is>
          <t>A 40361-2023</t>
        </is>
      </c>
      <c r="B25" t="inlineStr">
        <is>
          <t>avverkningsanmälan</t>
        </is>
      </c>
      <c r="C25" t="inlineStr">
        <is>
          <t>Avverkning för annat ändamål</t>
        </is>
      </c>
      <c r="D25" s="1" t="n">
        <v>45169</v>
      </c>
      <c r="E25" s="1" t="n">
        <v>46272</v>
      </c>
      <c r="F25" t="inlineStr">
        <is>
          <t>KALMAR LÄN</t>
        </is>
      </c>
      <c r="G25" t="inlineStr">
        <is>
          <t>MÖRBYLÅNGA</t>
        </is>
      </c>
      <c r="I25" t="n">
        <v>1.1</v>
      </c>
      <c r="J25" t="n">
        <v>1</v>
      </c>
      <c r="K25" t="n">
        <v>0</v>
      </c>
      <c r="L25" t="n">
        <v>4</v>
      </c>
      <c r="M25" t="n">
        <v>0</v>
      </c>
      <c r="N25" t="n">
        <v>2</v>
      </c>
      <c r="O25" t="n">
        <v>0</v>
      </c>
      <c r="P25" t="n">
        <v>0</v>
      </c>
      <c r="Q25" t="n">
        <v>6</v>
      </c>
      <c r="R25" t="n">
        <v>2</v>
      </c>
      <c r="S25" t="n">
        <v>7</v>
      </c>
      <c r="T25" t="n">
        <v>11</v>
      </c>
      <c r="U25" t="n">
        <v>10</v>
      </c>
      <c r="V25" s="2" t="inlineStr">
        <is>
          <t>Ask
Lundalm
Sminkrot
Vippärt
Ängsskära
Åkerrödtoppa
Näktergal</t>
        </is>
      </c>
      <c r="W25">
        <f>HYPERLINK("https://klasma.github.io/Logging_0840/artfynd/A 40361-2023 artfynd.xlsx", "A 40361-2023")</f>
        <v/>
      </c>
      <c r="X25">
        <f>HYPERLINK("https://klasma.github.io/Logging_0840/kartor/A 40361-2023 karta.png", "A 40361-2023")</f>
        <v/>
      </c>
      <c r="Y25">
        <f>HYPERLINK("https://klasma.github.io/Logging_0840/kartor_geotiff/A 40361-2023 georefererad karta.tif", "A 40361-2023")</f>
        <v/>
      </c>
      <c r="AA25">
        <f>HYPERLINK("https://klasma.github.io/Logging_0840/klagomål/A 40361-2023 FSC-klagomål.docx", "A 40361-2023")</f>
        <v/>
      </c>
      <c r="AB25">
        <f>HYPERLINK("https://klasma.github.io/Logging_0840/klagomålsmail/A 40361-2023 FSC-klagomål mail.docx", "A 40361-2023")</f>
        <v/>
      </c>
      <c r="AC25">
        <f>HYPERLINK("https://klasma.github.io/Logging_0840/tillsyn/A 40361-2023 tillsynsbegäran.docx", "A 40361-2023")</f>
        <v/>
      </c>
      <c r="AD25">
        <f>HYPERLINK("https://klasma.github.io/Logging_0840/tillsynsmail/A 40361-2023 tillsynsbegäran mail.docx", "A 40361-2023")</f>
        <v/>
      </c>
      <c r="AE25">
        <f>HYPERLINK("https://klasma.github.io/Logging_0840/fåglar/A 40361-2023 prioriterade fågelarter.docx", "A 40361-2023")</f>
        <v/>
      </c>
    </row>
    <row r="26" ht="15" customHeight="1">
      <c r="A26" t="inlineStr">
        <is>
          <t>A 43704-2025</t>
        </is>
      </c>
      <c r="B26" t="inlineStr">
        <is>
          <t>avverkningsanmälan</t>
        </is>
      </c>
      <c r="C26" t="inlineStr">
        <is>
          <t>Föryngringsavverkning</t>
        </is>
      </c>
      <c r="D26" s="1" t="n">
        <v>45912</v>
      </c>
      <c r="E26" s="1" t="n">
        <v>46272</v>
      </c>
      <c r="F26" t="inlineStr">
        <is>
          <t>KALMAR LÄN</t>
        </is>
      </c>
      <c r="G26" t="inlineStr">
        <is>
          <t>MÖRBYLÅNGA</t>
        </is>
      </c>
      <c r="I26" t="n">
        <v>2.7</v>
      </c>
      <c r="J26" t="n">
        <v>5</v>
      </c>
      <c r="K26" t="n">
        <v>1</v>
      </c>
      <c r="L26" t="n">
        <v>0</v>
      </c>
      <c r="M26" t="n">
        <v>0</v>
      </c>
      <c r="N26" t="n">
        <v>0</v>
      </c>
      <c r="O26" t="n">
        <v>0</v>
      </c>
      <c r="P26" t="n">
        <v>0</v>
      </c>
      <c r="Q26" t="n">
        <v>0</v>
      </c>
      <c r="R26" t="n">
        <v>0</v>
      </c>
      <c r="S26" t="n">
        <v>6</v>
      </c>
      <c r="T26" t="n">
        <v>6</v>
      </c>
      <c r="U26" t="n">
        <v>1</v>
      </c>
      <c r="V26" s="2" t="inlineStr">
        <is>
          <t>Blomkålssvamp
Långbensgroda
Större vattensalamander
Åkergroda
Mindre vattensalamander
Vanlig padda</t>
        </is>
      </c>
      <c r="W26">
        <f>HYPERLINK("https://klasma.github.io/Logging_0840/artfynd/A 43704-2025 artfynd.xlsx", "A 43704-2025")</f>
        <v/>
      </c>
      <c r="X26">
        <f>HYPERLINK("https://klasma.github.io/Logging_0840/kartor/A 43704-2025 karta.png", "A 43704-2025")</f>
        <v/>
      </c>
      <c r="Y26">
        <f>HYPERLINK("https://klasma.github.io/Logging_0840/kartor_geotiff/A 43704-2025 georefererad karta.tif", "A 43704-2025")</f>
        <v/>
      </c>
      <c r="AA26">
        <f>HYPERLINK("https://klasma.github.io/Logging_0840/klagomål/A 43704-2025 FSC-klagomål.docx", "A 43704-2025")</f>
        <v/>
      </c>
      <c r="AB26">
        <f>HYPERLINK("https://klasma.github.io/Logging_0840/klagomålsmail/A 43704-2025 FSC-klagomål mail.docx", "A 43704-2025")</f>
        <v/>
      </c>
      <c r="AC26">
        <f>HYPERLINK("https://klasma.github.io/Logging_0840/tillsyn/A 43704-2025 tillsynsbegäran.docx", "A 43704-2025")</f>
        <v/>
      </c>
      <c r="AD26">
        <f>HYPERLINK("https://klasma.github.io/Logging_0840/tillsynsmail/A 43704-2025 tillsynsbegäran mail.docx", "A 43704-2025")</f>
        <v/>
      </c>
    </row>
    <row r="27" ht="15" customHeight="1">
      <c r="A27" t="inlineStr">
        <is>
          <t>A 43714-2025</t>
        </is>
      </c>
      <c r="B27" t="inlineStr">
        <is>
          <t>avverkningsanmälan</t>
        </is>
      </c>
      <c r="C27" t="inlineStr">
        <is>
          <t>Föryngringsavverkning</t>
        </is>
      </c>
      <c r="D27" s="1" t="n">
        <v>45912</v>
      </c>
      <c r="E27" s="1" t="n">
        <v>46272</v>
      </c>
      <c r="F27" t="inlineStr">
        <is>
          <t>KALMAR LÄN</t>
        </is>
      </c>
      <c r="G27" t="inlineStr">
        <is>
          <t>MÖRBYLÅNGA</t>
        </is>
      </c>
      <c r="I27" t="n">
        <v>7.9</v>
      </c>
      <c r="J27" t="n">
        <v>1</v>
      </c>
      <c r="K27" t="n">
        <v>3</v>
      </c>
      <c r="L27" t="n">
        <v>1</v>
      </c>
      <c r="M27" t="n">
        <v>2</v>
      </c>
      <c r="N27" t="n">
        <v>0</v>
      </c>
      <c r="O27" t="n">
        <v>0</v>
      </c>
      <c r="P27" t="n">
        <v>0</v>
      </c>
      <c r="Q27" t="n">
        <v>3</v>
      </c>
      <c r="R27" t="n">
        <v>2</v>
      </c>
      <c r="S27" t="n">
        <v>6</v>
      </c>
      <c r="T27" t="n">
        <v>8</v>
      </c>
      <c r="U27" t="n">
        <v>2</v>
      </c>
      <c r="V27" s="2" t="inlineStr">
        <is>
          <t>Mindre bastardsvärmare
Sexfläckig bastardsvärmare
Grönsångare
Murgröna
Tibast
Trädporella</t>
        </is>
      </c>
      <c r="W27">
        <f>HYPERLINK("https://klasma.github.io/Logging_0840/artfynd/A 43714-2025 artfynd.xlsx", "A 43714-2025")</f>
        <v/>
      </c>
      <c r="X27">
        <f>HYPERLINK("https://klasma.github.io/Logging_0840/kartor/A 43714-2025 karta.png", "A 43714-2025")</f>
        <v/>
      </c>
      <c r="Y27">
        <f>HYPERLINK("https://klasma.github.io/Logging_0840/kartor_geotiff/A 43714-2025 georefererad karta.tif", "A 43714-2025")</f>
        <v/>
      </c>
      <c r="AA27">
        <f>HYPERLINK("https://klasma.github.io/Logging_0840/klagomål/A 43714-2025 FSC-klagomål.docx", "A 43714-2025")</f>
        <v/>
      </c>
      <c r="AB27">
        <f>HYPERLINK("https://klasma.github.io/Logging_0840/klagomålsmail/A 43714-2025 FSC-klagomål mail.docx", "A 43714-2025")</f>
        <v/>
      </c>
      <c r="AC27">
        <f>HYPERLINK("https://klasma.github.io/Logging_0840/tillsyn/A 43714-2025 tillsynsbegäran.docx", "A 43714-2025")</f>
        <v/>
      </c>
      <c r="AD27">
        <f>HYPERLINK("https://klasma.github.io/Logging_0840/tillsynsmail/A 43714-2025 tillsynsbegäran mail.docx", "A 43714-2025")</f>
        <v/>
      </c>
      <c r="AE27">
        <f>HYPERLINK("https://klasma.github.io/Logging_0840/fåglar/A 43714-2025 prioriterade fågelarter.docx", "A 43714-2025")</f>
        <v/>
      </c>
    </row>
    <row r="28" ht="15" customHeight="1">
      <c r="A28" t="inlineStr">
        <is>
          <t>S 1814-2026</t>
        </is>
      </c>
      <c r="B28" t="inlineStr">
        <is>
          <t>samrådsanmälan</t>
        </is>
      </c>
      <c r="C28" t="inlineStr">
        <is>
          <t>Annan skogsbruksåtgärd</t>
        </is>
      </c>
      <c r="D28" s="1" t="n">
        <v>46190</v>
      </c>
      <c r="E28" s="1" t="n">
        <v>46272</v>
      </c>
      <c r="F28" t="inlineStr">
        <is>
          <t>KALMAR LÄN</t>
        </is>
      </c>
      <c r="G28" t="inlineStr">
        <is>
          <t>MÖRBYLÅNGA</t>
        </is>
      </c>
      <c r="I28" t="n">
        <v>10.7</v>
      </c>
      <c r="J28" t="n">
        <v>3</v>
      </c>
      <c r="K28" t="n">
        <v>0</v>
      </c>
      <c r="L28" t="n">
        <v>2</v>
      </c>
      <c r="M28" t="n">
        <v>1</v>
      </c>
      <c r="N28" t="n">
        <v>0</v>
      </c>
      <c r="O28" t="n">
        <v>0</v>
      </c>
      <c r="P28" t="n">
        <v>0</v>
      </c>
      <c r="Q28" t="n">
        <v>3</v>
      </c>
      <c r="R28" t="n">
        <v>1</v>
      </c>
      <c r="S28" t="n">
        <v>6</v>
      </c>
      <c r="T28" t="n">
        <v>11</v>
      </c>
      <c r="U28" t="n">
        <v>0</v>
      </c>
      <c r="V28" s="2" t="inlineStr">
        <is>
          <t>Småvänderot
Leopardsköldbagge
Ängsstarr
Brudsporre
Kärrknipprot
Ängsnycklar</t>
        </is>
      </c>
      <c r="W28">
        <f>HYPERLINK("https://klasma.github.io/Logging_0840/artfynd/S 1814-2026 artfynd.xlsx", "S 1814-2026")</f>
        <v/>
      </c>
      <c r="X28">
        <f>HYPERLINK("https://klasma.github.io/Logging_0840/kartor/S 1814-2026 karta.png", "S 1814-2026")</f>
        <v/>
      </c>
      <c r="Y28">
        <f>HYPERLINK("https://klasma.github.io/Logging_0840/kartor_geotiff/S 1814-2026 georefererad karta.tif", "S 1814-2026")</f>
        <v/>
      </c>
      <c r="AA28">
        <f>HYPERLINK("https://klasma.github.io/Logging_0840/klagomål/S 1814-2026 FSC-klagomål.docx", "S 1814-2026")</f>
        <v/>
      </c>
      <c r="AB28">
        <f>HYPERLINK("https://klasma.github.io/Logging_0840/klagomålsmail/S 1814-2026 FSC-klagomål mail.docx", "S 1814-2026")</f>
        <v/>
      </c>
      <c r="AC28">
        <f>HYPERLINK("https://klasma.github.io/Logging_0840/tillsyn/S 1814-2026 tillsynsbegäran.docx", "S 1814-2026")</f>
        <v/>
      </c>
      <c r="AD28">
        <f>HYPERLINK("https://klasma.github.io/Logging_0840/tillsynsmail/S 1814-2026 tillsynsbegäran mail.docx", "S 1814-2026")</f>
        <v/>
      </c>
    </row>
    <row r="29" ht="15" customHeight="1">
      <c r="A29" t="inlineStr">
        <is>
          <t>A 61963-2025</t>
        </is>
      </c>
      <c r="B29" t="inlineStr">
        <is>
          <t>avverkningsanmälan</t>
        </is>
      </c>
      <c r="C29" t="inlineStr">
        <is>
          <t>Avverkning för annat ändamål</t>
        </is>
      </c>
      <c r="D29" s="1" t="n">
        <v>46003</v>
      </c>
      <c r="E29" s="1" t="n">
        <v>46272</v>
      </c>
      <c r="F29" t="inlineStr">
        <is>
          <t>KALMAR LÄN</t>
        </is>
      </c>
      <c r="G29" t="inlineStr">
        <is>
          <t>MÖRBYLÅNGA</t>
        </is>
      </c>
      <c r="I29" t="n">
        <v>1.1</v>
      </c>
      <c r="J29" t="n">
        <v>4</v>
      </c>
      <c r="K29" t="n">
        <v>1</v>
      </c>
      <c r="L29" t="n">
        <v>1</v>
      </c>
      <c r="M29" t="n">
        <v>0</v>
      </c>
      <c r="N29" t="n">
        <v>0</v>
      </c>
      <c r="O29" t="n">
        <v>0</v>
      </c>
      <c r="P29" t="n">
        <v>0</v>
      </c>
      <c r="Q29" t="n">
        <v>1</v>
      </c>
      <c r="R29" t="n">
        <v>0</v>
      </c>
      <c r="S29" t="n">
        <v>5</v>
      </c>
      <c r="T29" t="n">
        <v>8</v>
      </c>
      <c r="U29" t="n">
        <v>3</v>
      </c>
      <c r="V29" s="2" t="inlineStr">
        <is>
          <t>Gulsparv
Mindre märgborre
Blåsippa
Spillkråka
Röd glada</t>
        </is>
      </c>
      <c r="W29">
        <f>HYPERLINK("https://klasma.github.io/Logging_0840/artfynd/A 61963-2025 artfynd.xlsx", "A 61963-2025")</f>
        <v/>
      </c>
      <c r="X29">
        <f>HYPERLINK("https://klasma.github.io/Logging_0840/kartor/A 61963-2025 karta.png", "A 61963-2025")</f>
        <v/>
      </c>
      <c r="Y29">
        <f>HYPERLINK("https://klasma.github.io/Logging_0840/kartor_geotiff/A 61963-2025 georefererad karta.tif", "A 61963-2025")</f>
        <v/>
      </c>
      <c r="AA29">
        <f>HYPERLINK("https://klasma.github.io/Logging_0840/klagomål/A 61963-2025 FSC-klagomål.docx", "A 61963-2025")</f>
        <v/>
      </c>
      <c r="AB29">
        <f>HYPERLINK("https://klasma.github.io/Logging_0840/klagomålsmail/A 61963-2025 FSC-klagomål mail.docx", "A 61963-2025")</f>
        <v/>
      </c>
      <c r="AC29">
        <f>HYPERLINK("https://klasma.github.io/Logging_0840/tillsyn/A 61963-2025 tillsynsbegäran.docx", "A 61963-2025")</f>
        <v/>
      </c>
      <c r="AD29">
        <f>HYPERLINK("https://klasma.github.io/Logging_0840/tillsynsmail/A 61963-2025 tillsynsbegäran mail.docx", "A 61963-2025")</f>
        <v/>
      </c>
      <c r="AE29">
        <f>HYPERLINK("https://klasma.github.io/Logging_0840/fåglar/A 61963-2025 prioriterade fågelarter.docx", "A 61963-2025")</f>
        <v/>
      </c>
    </row>
    <row r="30" ht="15" customHeight="1">
      <c r="A30" t="inlineStr">
        <is>
          <t>A 2864-2026</t>
        </is>
      </c>
      <c r="B30" t="inlineStr">
        <is>
          <t>avverkningsanmälan</t>
        </is>
      </c>
      <c r="C30" t="inlineStr">
        <is>
          <t>Föryngringsavverkning</t>
        </is>
      </c>
      <c r="D30" s="1" t="n">
        <v>46038</v>
      </c>
      <c r="E30" s="1" t="n">
        <v>46272</v>
      </c>
      <c r="F30" t="inlineStr">
        <is>
          <t>KALMAR LÄN</t>
        </is>
      </c>
      <c r="G30" t="inlineStr">
        <is>
          <t>MÖRBYLÅNGA</t>
        </is>
      </c>
      <c r="I30" t="n">
        <v>1</v>
      </c>
      <c r="J30" t="n">
        <v>4</v>
      </c>
      <c r="K30" t="n">
        <v>1</v>
      </c>
      <c r="L30" t="n">
        <v>1</v>
      </c>
      <c r="M30" t="n">
        <v>0</v>
      </c>
      <c r="N30" t="n">
        <v>0</v>
      </c>
      <c r="O30" t="n">
        <v>0</v>
      </c>
      <c r="P30" t="n">
        <v>0</v>
      </c>
      <c r="Q30" t="n">
        <v>1</v>
      </c>
      <c r="R30" t="n">
        <v>0</v>
      </c>
      <c r="S30" t="n">
        <v>5</v>
      </c>
      <c r="T30" t="n">
        <v>8</v>
      </c>
      <c r="U30" t="n">
        <v>3</v>
      </c>
      <c r="V30" s="2" t="inlineStr">
        <is>
          <t>Gulsparv
Mindre märgborre
Blåsippa
Spillkråka
Röd glada</t>
        </is>
      </c>
      <c r="W30">
        <f>HYPERLINK("https://klasma.github.io/Logging_0840/artfynd/A 2864-2026 artfynd.xlsx", "A 2864-2026")</f>
        <v/>
      </c>
      <c r="X30">
        <f>HYPERLINK("https://klasma.github.io/Logging_0840/kartor/A 2864-2026 karta.png", "A 2864-2026")</f>
        <v/>
      </c>
      <c r="Y30">
        <f>HYPERLINK("https://klasma.github.io/Logging_0840/kartor_geotiff/A 2864-2026 georefererad karta.tif", "A 2864-2026")</f>
        <v/>
      </c>
      <c r="AA30">
        <f>HYPERLINK("https://klasma.github.io/Logging_0840/klagomål/A 2864-2026 FSC-klagomål.docx", "A 2864-2026")</f>
        <v/>
      </c>
      <c r="AB30">
        <f>HYPERLINK("https://klasma.github.io/Logging_0840/klagomålsmail/A 2864-2026 FSC-klagomål mail.docx", "A 2864-2026")</f>
        <v/>
      </c>
      <c r="AC30">
        <f>HYPERLINK("https://klasma.github.io/Logging_0840/tillsyn/A 2864-2026 tillsynsbegäran.docx", "A 2864-2026")</f>
        <v/>
      </c>
      <c r="AD30">
        <f>HYPERLINK("https://klasma.github.io/Logging_0840/tillsynsmail/A 2864-2026 tillsynsbegäran mail.docx", "A 2864-2026")</f>
        <v/>
      </c>
      <c r="AE30">
        <f>HYPERLINK("https://klasma.github.io/Logging_0840/fåglar/A 2864-2026 prioriterade fågelarter.docx", "A 2864-2026")</f>
        <v/>
      </c>
    </row>
    <row r="31" ht="15" customHeight="1">
      <c r="A31" t="inlineStr">
        <is>
          <t>A 54167-2024</t>
        </is>
      </c>
      <c r="B31" t="inlineStr">
        <is>
          <t>avverkningsanmälan</t>
        </is>
      </c>
      <c r="C31" t="inlineStr">
        <is>
          <t>Föryngringsavverkning</t>
        </is>
      </c>
      <c r="D31" s="1" t="n">
        <v>45616</v>
      </c>
      <c r="E31" s="1" t="n">
        <v>46272</v>
      </c>
      <c r="F31" t="inlineStr">
        <is>
          <t>KALMAR LÄN</t>
        </is>
      </c>
      <c r="G31" t="inlineStr">
        <is>
          <t>MÖRBYLÅNGA</t>
        </is>
      </c>
      <c r="I31" t="n">
        <v>1.5</v>
      </c>
      <c r="J31" t="n">
        <v>2</v>
      </c>
      <c r="K31" t="n">
        <v>2</v>
      </c>
      <c r="L31" t="n">
        <v>0</v>
      </c>
      <c r="M31" t="n">
        <v>0</v>
      </c>
      <c r="N31" t="n">
        <v>1</v>
      </c>
      <c r="O31" t="n">
        <v>0</v>
      </c>
      <c r="P31" t="n">
        <v>0</v>
      </c>
      <c r="Q31" t="n">
        <v>1</v>
      </c>
      <c r="R31" t="n">
        <v>1</v>
      </c>
      <c r="S31" t="n">
        <v>4</v>
      </c>
      <c r="T31" t="n">
        <v>8</v>
      </c>
      <c r="U31" t="n">
        <v>8</v>
      </c>
      <c r="V31" s="2" t="inlineStr">
        <is>
          <t>Ask
Murgröna
Tvåblad
Blåsippa</t>
        </is>
      </c>
      <c r="W31">
        <f>HYPERLINK("https://klasma.github.io/Logging_0840/artfynd/A 54167-2024 artfynd.xlsx", "A 54167-2024")</f>
        <v/>
      </c>
      <c r="X31">
        <f>HYPERLINK("https://klasma.github.io/Logging_0840/kartor/A 54167-2024 karta.png", "A 54167-2024")</f>
        <v/>
      </c>
      <c r="Y31">
        <f>HYPERLINK("https://klasma.github.io/Logging_0840/kartor_geotiff/A 54167-2024 georefererad karta.tif", "A 54167-2024")</f>
        <v/>
      </c>
      <c r="AA31">
        <f>HYPERLINK("https://klasma.github.io/Logging_0840/klagomål/A 54167-2024 FSC-klagomål.docx", "A 54167-2024")</f>
        <v/>
      </c>
      <c r="AB31">
        <f>HYPERLINK("https://klasma.github.io/Logging_0840/klagomålsmail/A 54167-2024 FSC-klagomål mail.docx", "A 54167-2024")</f>
        <v/>
      </c>
      <c r="AC31">
        <f>HYPERLINK("https://klasma.github.io/Logging_0840/tillsyn/A 54167-2024 tillsynsbegäran.docx", "A 54167-2024")</f>
        <v/>
      </c>
      <c r="AD31">
        <f>HYPERLINK("https://klasma.github.io/Logging_0840/tillsynsmail/A 54167-2024 tillsynsbegäran mail.docx", "A 54167-2024")</f>
        <v/>
      </c>
    </row>
    <row r="32" ht="15" customHeight="1">
      <c r="A32" t="inlineStr">
        <is>
          <t>A 19459-2023</t>
        </is>
      </c>
      <c r="B32" t="inlineStr">
        <is>
          <t>avverkningsanmälan</t>
        </is>
      </c>
      <c r="C32" t="inlineStr">
        <is>
          <t>Avverkning för annat ändamål</t>
        </is>
      </c>
      <c r="D32" s="1" t="n">
        <v>45049</v>
      </c>
      <c r="E32" s="1" t="n">
        <v>46272</v>
      </c>
      <c r="F32" t="inlineStr">
        <is>
          <t>KALMAR LÄN</t>
        </is>
      </c>
      <c r="G32" t="inlineStr">
        <is>
          <t>MÖRBYLÅNGA</t>
        </is>
      </c>
      <c r="I32" t="n">
        <v>1.6</v>
      </c>
      <c r="J32" t="n">
        <v>0</v>
      </c>
      <c r="K32" t="n">
        <v>0</v>
      </c>
      <c r="L32" t="n">
        <v>4</v>
      </c>
      <c r="M32" t="n">
        <v>0</v>
      </c>
      <c r="N32" t="n">
        <v>0</v>
      </c>
      <c r="O32" t="n">
        <v>0</v>
      </c>
      <c r="P32" t="n">
        <v>0</v>
      </c>
      <c r="Q32" t="n">
        <v>4</v>
      </c>
      <c r="R32" t="n">
        <v>0</v>
      </c>
      <c r="S32" t="n">
        <v>4</v>
      </c>
      <c r="T32" t="n">
        <v>4</v>
      </c>
      <c r="U32" t="n">
        <v>4</v>
      </c>
      <c r="V32" s="2" t="inlineStr">
        <is>
          <t>Kavelhirs
Kösa
Luddvicker
Riddarsporre</t>
        </is>
      </c>
      <c r="W32">
        <f>HYPERLINK("https://klasma.github.io/Logging_0840/artfynd/A 19459-2023 artfynd.xlsx", "A 19459-2023")</f>
        <v/>
      </c>
      <c r="X32">
        <f>HYPERLINK("https://klasma.github.io/Logging_0840/kartor/A 19459-2023 karta.png", "A 19459-2023")</f>
        <v/>
      </c>
      <c r="Y32">
        <f>HYPERLINK("https://klasma.github.io/Logging_0840/kartor_geotiff/A 19459-2023 georefererad karta.tif", "A 19459-2023")</f>
        <v/>
      </c>
      <c r="AA32">
        <f>HYPERLINK("https://klasma.github.io/Logging_0840/klagomål/A 19459-2023 FSC-klagomål.docx", "A 19459-2023")</f>
        <v/>
      </c>
      <c r="AB32">
        <f>HYPERLINK("https://klasma.github.io/Logging_0840/klagomålsmail/A 19459-2023 FSC-klagomål mail.docx", "A 19459-2023")</f>
        <v/>
      </c>
      <c r="AC32">
        <f>HYPERLINK("https://klasma.github.io/Logging_0840/tillsyn/A 19459-2023 tillsynsbegäran.docx", "A 19459-2023")</f>
        <v/>
      </c>
      <c r="AD32">
        <f>HYPERLINK("https://klasma.github.io/Logging_0840/tillsynsmail/A 19459-2023 tillsynsbegäran mail.docx", "A 19459-2023")</f>
        <v/>
      </c>
    </row>
    <row r="33" ht="15" customHeight="1">
      <c r="A33" t="inlineStr">
        <is>
          <t>A 26440-2026</t>
        </is>
      </c>
      <c r="B33" t="inlineStr">
        <is>
          <t>avverkningsanmälan</t>
        </is>
      </c>
      <c r="C33" t="inlineStr">
        <is>
          <t>Avverkning för annat ändamål</t>
        </is>
      </c>
      <c r="D33" s="1" t="n">
        <v>46183</v>
      </c>
      <c r="E33" s="1" t="n">
        <v>46272</v>
      </c>
      <c r="F33" t="inlineStr">
        <is>
          <t>KALMAR LÄN</t>
        </is>
      </c>
      <c r="G33" t="inlineStr">
        <is>
          <t>MÖRBYLÅNGA</t>
        </is>
      </c>
      <c r="I33" t="n">
        <v>1.1</v>
      </c>
      <c r="J33" t="n">
        <v>1</v>
      </c>
      <c r="K33" t="n">
        <v>3</v>
      </c>
      <c r="L33" t="n">
        <v>1</v>
      </c>
      <c r="M33" t="n">
        <v>0</v>
      </c>
      <c r="N33" t="n">
        <v>0</v>
      </c>
      <c r="O33" t="n">
        <v>0</v>
      </c>
      <c r="P33" t="n">
        <v>0</v>
      </c>
      <c r="Q33" t="n">
        <v>1</v>
      </c>
      <c r="R33" t="n">
        <v>0</v>
      </c>
      <c r="S33" t="n">
        <v>4</v>
      </c>
      <c r="T33" t="n">
        <v>5</v>
      </c>
      <c r="U33" t="n">
        <v>0</v>
      </c>
      <c r="V33" s="2" t="inlineStr">
        <is>
          <t>Backstarr
Murgröna
Nästrot
Vätteros</t>
        </is>
      </c>
      <c r="W33">
        <f>HYPERLINK("https://klasma.github.io/Logging_0840/artfynd/A 26440-2026 artfynd.xlsx", "A 26440-2026")</f>
        <v/>
      </c>
      <c r="X33">
        <f>HYPERLINK("https://klasma.github.io/Logging_0840/kartor/A 26440-2026 karta.png", "A 26440-2026")</f>
        <v/>
      </c>
      <c r="Y33">
        <f>HYPERLINK("https://klasma.github.io/Logging_0840/kartor_geotiff/A 26440-2026 georefererad karta.tif", "A 26440-2026")</f>
        <v/>
      </c>
      <c r="AA33">
        <f>HYPERLINK("https://klasma.github.io/Logging_0840/klagomål/A 26440-2026 FSC-klagomål.docx", "A 26440-2026")</f>
        <v/>
      </c>
      <c r="AB33">
        <f>HYPERLINK("https://klasma.github.io/Logging_0840/klagomålsmail/A 26440-2026 FSC-klagomål mail.docx", "A 26440-2026")</f>
        <v/>
      </c>
      <c r="AC33">
        <f>HYPERLINK("https://klasma.github.io/Logging_0840/tillsyn/A 26440-2026 tillsynsbegäran.docx", "A 26440-2026")</f>
        <v/>
      </c>
      <c r="AD33">
        <f>HYPERLINK("https://klasma.github.io/Logging_0840/tillsynsmail/A 26440-2026 tillsynsbegäran mail.docx", "A 26440-2026")</f>
        <v/>
      </c>
    </row>
    <row r="34" ht="15" customHeight="1">
      <c r="A34" t="inlineStr">
        <is>
          <t>A 51244-2021</t>
        </is>
      </c>
      <c r="B34" t="inlineStr">
        <is>
          <t>avverkningsanmälan</t>
        </is>
      </c>
      <c r="C34" t="inlineStr">
        <is>
          <t>Avverkning för att bevara och utveckla /försöksver</t>
        </is>
      </c>
      <c r="D34" s="1" t="n">
        <v>44460</v>
      </c>
      <c r="E34" s="1" t="n">
        <v>46272</v>
      </c>
      <c r="F34" t="inlineStr">
        <is>
          <t>KALMAR LÄN</t>
        </is>
      </c>
      <c r="G34" t="inlineStr">
        <is>
          <t>MÖRBYLÅNGA</t>
        </is>
      </c>
      <c r="I34" t="n">
        <v>1.9</v>
      </c>
      <c r="J34" t="n">
        <v>0</v>
      </c>
      <c r="K34" t="n">
        <v>0</v>
      </c>
      <c r="L34" t="n">
        <v>2</v>
      </c>
      <c r="M34" t="n">
        <v>1</v>
      </c>
      <c r="N34" t="n">
        <v>0</v>
      </c>
      <c r="O34" t="n">
        <v>0</v>
      </c>
      <c r="P34" t="n">
        <v>0</v>
      </c>
      <c r="Q34" t="n">
        <v>3</v>
      </c>
      <c r="R34" t="n">
        <v>1</v>
      </c>
      <c r="S34" t="n">
        <v>3</v>
      </c>
      <c r="T34" t="n">
        <v>4</v>
      </c>
      <c r="U34" t="n">
        <v>3</v>
      </c>
      <c r="V34" s="2" t="inlineStr">
        <is>
          <t>Stäppbandbi
Vittåtel
Älg</t>
        </is>
      </c>
      <c r="W34">
        <f>HYPERLINK("https://klasma.github.io/Logging_0840/artfynd/A 51244-2021 artfynd.xlsx", "A 51244-2021")</f>
        <v/>
      </c>
      <c r="X34">
        <f>HYPERLINK("https://klasma.github.io/Logging_0840/kartor/A 51244-2021 karta.png", "A 51244-2021")</f>
        <v/>
      </c>
      <c r="Y34">
        <f>HYPERLINK("https://klasma.github.io/Logging_0840/kartor_geotiff/A 51244-2021 georefererad karta.tif", "A 51244-2021")</f>
        <v/>
      </c>
      <c r="AA34">
        <f>HYPERLINK("https://klasma.github.io/Logging_0840/klagomål/A 51244-2021 FSC-klagomål.docx", "A 51244-2021")</f>
        <v/>
      </c>
      <c r="AB34">
        <f>HYPERLINK("https://klasma.github.io/Logging_0840/klagomålsmail/A 51244-2021 FSC-klagomål mail.docx", "A 51244-2021")</f>
        <v/>
      </c>
      <c r="AC34">
        <f>HYPERLINK("https://klasma.github.io/Logging_0840/tillsyn/A 51244-2021 tillsynsbegäran.docx", "A 51244-2021")</f>
        <v/>
      </c>
      <c r="AD34">
        <f>HYPERLINK("https://klasma.github.io/Logging_0840/tillsynsmail/A 51244-2021 tillsynsbegäran mail.docx", "A 51244-2021")</f>
        <v/>
      </c>
    </row>
    <row r="35" ht="15" customHeight="1">
      <c r="A35" t="inlineStr">
        <is>
          <t>A 43702-2025</t>
        </is>
      </c>
      <c r="B35" t="inlineStr">
        <is>
          <t>avverkningsanmälan</t>
        </is>
      </c>
      <c r="C35" t="inlineStr">
        <is>
          <t>Föryngringsavverkning</t>
        </is>
      </c>
      <c r="D35" s="1" t="n">
        <v>45912</v>
      </c>
      <c r="E35" s="1" t="n">
        <v>46272</v>
      </c>
      <c r="F35" t="inlineStr">
        <is>
          <t>KALMAR LÄN</t>
        </is>
      </c>
      <c r="G35" t="inlineStr">
        <is>
          <t>MÖRBYLÅNGA</t>
        </is>
      </c>
      <c r="I35" t="n">
        <v>2.6</v>
      </c>
      <c r="J35" t="n">
        <v>0</v>
      </c>
      <c r="K35" t="n">
        <v>2</v>
      </c>
      <c r="L35" t="n">
        <v>1</v>
      </c>
      <c r="M35" t="n">
        <v>0</v>
      </c>
      <c r="N35" t="n">
        <v>0</v>
      </c>
      <c r="O35" t="n">
        <v>0</v>
      </c>
      <c r="P35" t="n">
        <v>0</v>
      </c>
      <c r="Q35" t="n">
        <v>1</v>
      </c>
      <c r="R35" t="n">
        <v>0</v>
      </c>
      <c r="S35" t="n">
        <v>3</v>
      </c>
      <c r="T35" t="n">
        <v>3</v>
      </c>
      <c r="U35" t="n">
        <v>2</v>
      </c>
      <c r="V35" s="2" t="inlineStr">
        <is>
          <t>Sårläka
Murgröna
Tibast</t>
        </is>
      </c>
      <c r="W35">
        <f>HYPERLINK("https://klasma.github.io/Logging_0840/artfynd/A 43702-2025 artfynd.xlsx", "A 43702-2025")</f>
        <v/>
      </c>
      <c r="X35">
        <f>HYPERLINK("https://klasma.github.io/Logging_0840/kartor/A 43702-2025 karta.png", "A 43702-2025")</f>
        <v/>
      </c>
      <c r="Y35">
        <f>HYPERLINK("https://klasma.github.io/Logging_0840/kartor_geotiff/A 43702-2025 georefererad karta.tif", "A 43702-2025")</f>
        <v/>
      </c>
      <c r="AA35">
        <f>HYPERLINK("https://klasma.github.io/Logging_0840/klagomål/A 43702-2025 FSC-klagomål.docx", "A 43702-2025")</f>
        <v/>
      </c>
      <c r="AB35">
        <f>HYPERLINK("https://klasma.github.io/Logging_0840/klagomålsmail/A 43702-2025 FSC-klagomål mail.docx", "A 43702-2025")</f>
        <v/>
      </c>
      <c r="AC35">
        <f>HYPERLINK("https://klasma.github.io/Logging_0840/tillsyn/A 43702-2025 tillsynsbegäran.docx", "A 43702-2025")</f>
        <v/>
      </c>
      <c r="AD35">
        <f>HYPERLINK("https://klasma.github.io/Logging_0840/tillsynsmail/A 43702-2025 tillsynsbegäran mail.docx", "A 43702-2025")</f>
        <v/>
      </c>
    </row>
    <row r="36" ht="15" customHeight="1">
      <c r="A36" t="inlineStr">
        <is>
          <t>A 15600-2025</t>
        </is>
      </c>
      <c r="B36" t="inlineStr">
        <is>
          <t>avverkningsanmälan</t>
        </is>
      </c>
      <c r="C36" t="inlineStr">
        <is>
          <t>Avverkning för annat ändamål</t>
        </is>
      </c>
      <c r="D36" s="1" t="n">
        <v>45747</v>
      </c>
      <c r="E36" s="1" t="n">
        <v>46272</v>
      </c>
      <c r="F36" t="inlineStr">
        <is>
          <t>KALMAR LÄN</t>
        </is>
      </c>
      <c r="G36" t="inlineStr">
        <is>
          <t>MÖRBYLÅNGA</t>
        </is>
      </c>
      <c r="I36" t="n">
        <v>1.1</v>
      </c>
      <c r="J36" t="n">
        <v>0</v>
      </c>
      <c r="K36" t="n">
        <v>3</v>
      </c>
      <c r="L36" t="n">
        <v>0</v>
      </c>
      <c r="M36" t="n">
        <v>0</v>
      </c>
      <c r="N36" t="n">
        <v>0</v>
      </c>
      <c r="O36" t="n">
        <v>0</v>
      </c>
      <c r="P36" t="n">
        <v>0</v>
      </c>
      <c r="Q36" t="n">
        <v>0</v>
      </c>
      <c r="R36" t="n">
        <v>0</v>
      </c>
      <c r="S36" t="n">
        <v>3</v>
      </c>
      <c r="T36" t="n">
        <v>3</v>
      </c>
      <c r="U36" t="n">
        <v>1</v>
      </c>
      <c r="V36" s="2" t="inlineStr">
        <is>
          <t>Kragjordstjärna
Murgröna
Scharlakansvårskål agg.</t>
        </is>
      </c>
      <c r="W36">
        <f>HYPERLINK("https://klasma.github.io/Logging_0840/artfynd/A 15600-2025 artfynd.xlsx", "A 15600-2025")</f>
        <v/>
      </c>
      <c r="X36">
        <f>HYPERLINK("https://klasma.github.io/Logging_0840/kartor/A 15600-2025 karta.png", "A 15600-2025")</f>
        <v/>
      </c>
      <c r="Y36">
        <f>HYPERLINK("https://klasma.github.io/Logging_0840/kartor_geotiff/A 15600-2025 georefererad karta.tif", "A 15600-2025")</f>
        <v/>
      </c>
      <c r="AA36">
        <f>HYPERLINK("https://klasma.github.io/Logging_0840/klagomål/A 15600-2025 FSC-klagomål.docx", "A 15600-2025")</f>
        <v/>
      </c>
      <c r="AB36">
        <f>HYPERLINK("https://klasma.github.io/Logging_0840/klagomålsmail/A 15600-2025 FSC-klagomål mail.docx", "A 15600-2025")</f>
        <v/>
      </c>
      <c r="AC36">
        <f>HYPERLINK("https://klasma.github.io/Logging_0840/tillsyn/A 15600-2025 tillsynsbegäran.docx", "A 15600-2025")</f>
        <v/>
      </c>
      <c r="AD36">
        <f>HYPERLINK("https://klasma.github.io/Logging_0840/tillsynsmail/A 15600-2025 tillsynsbegäran mail.docx", "A 15600-2025")</f>
        <v/>
      </c>
    </row>
    <row r="37" ht="15" customHeight="1">
      <c r="A37" t="inlineStr">
        <is>
          <t>A 34431-2026</t>
        </is>
      </c>
      <c r="B37" t="inlineStr">
        <is>
          <t>avverkningsanmälan</t>
        </is>
      </c>
      <c r="C37" t="inlineStr">
        <is>
          <t>Avverkning för annat ändamål</t>
        </is>
      </c>
      <c r="D37" s="1" t="n">
        <v>46254</v>
      </c>
      <c r="E37" s="1" t="n">
        <v>46272</v>
      </c>
      <c r="F37" t="inlineStr">
        <is>
          <t>KALMAR LÄN</t>
        </is>
      </c>
      <c r="G37" t="inlineStr">
        <is>
          <t>MÖRBYLÅNGA</t>
        </is>
      </c>
      <c r="I37" t="n">
        <v>8.300000000000001</v>
      </c>
      <c r="J37" t="n">
        <v>2</v>
      </c>
      <c r="K37" t="n">
        <v>0</v>
      </c>
      <c r="L37" t="n">
        <v>3</v>
      </c>
      <c r="M37" t="n">
        <v>0</v>
      </c>
      <c r="N37" t="n">
        <v>0</v>
      </c>
      <c r="O37" t="n">
        <v>0</v>
      </c>
      <c r="P37" t="n">
        <v>0</v>
      </c>
      <c r="Q37" t="n">
        <v>3</v>
      </c>
      <c r="R37" t="n">
        <v>0</v>
      </c>
      <c r="S37" t="n">
        <v>3</v>
      </c>
      <c r="T37" t="n">
        <v>4</v>
      </c>
      <c r="U37" t="n">
        <v>0</v>
      </c>
      <c r="V37" s="2" t="inlineStr">
        <is>
          <t>Entita
Mindre hackspett
Sandtimotej</t>
        </is>
      </c>
      <c r="W37">
        <f>HYPERLINK("https://klasma.github.io/Logging_0840/artfynd/A 34431-2026 artfynd.xlsx", "A 34431-2026")</f>
        <v/>
      </c>
      <c r="X37">
        <f>HYPERLINK("https://klasma.github.io/Logging_0840/kartor/A 34431-2026 karta.png", "A 34431-2026")</f>
        <v/>
      </c>
      <c r="Y37">
        <f>HYPERLINK("https://klasma.github.io/Logging_0840/kartor_geotiff/A 34431-2026 georefererad karta.tif", "A 34431-2026")</f>
        <v/>
      </c>
      <c r="AA37">
        <f>HYPERLINK("https://klasma.github.io/Logging_0840/klagomål/A 34431-2026 FSC-klagomål.docx", "A 34431-2026")</f>
        <v/>
      </c>
      <c r="AB37">
        <f>HYPERLINK("https://klasma.github.io/Logging_0840/klagomålsmail/A 34431-2026 FSC-klagomål mail.docx", "A 34431-2026")</f>
        <v/>
      </c>
      <c r="AC37">
        <f>HYPERLINK("https://klasma.github.io/Logging_0840/tillsyn/A 34431-2026 tillsynsbegäran.docx", "A 34431-2026")</f>
        <v/>
      </c>
      <c r="AD37">
        <f>HYPERLINK("https://klasma.github.io/Logging_0840/tillsynsmail/A 34431-2026 tillsynsbegäran mail.docx", "A 34431-2026")</f>
        <v/>
      </c>
      <c r="AE37">
        <f>HYPERLINK("https://klasma.github.io/Logging_0840/fåglar/A 34431-2026 prioriterade fågelarter.docx", "A 34431-2026")</f>
        <v/>
      </c>
    </row>
    <row r="38" ht="15" customHeight="1">
      <c r="A38" t="inlineStr">
        <is>
          <t>A 29360-2026</t>
        </is>
      </c>
      <c r="B38" t="inlineStr">
        <is>
          <t>avverkningsanmälan</t>
        </is>
      </c>
      <c r="C38" t="inlineStr">
        <is>
          <t>Avverkning för annat ändamål</t>
        </is>
      </c>
      <c r="D38" s="1" t="n">
        <v>46203</v>
      </c>
      <c r="E38" s="1" t="n">
        <v>46272</v>
      </c>
      <c r="F38" t="inlineStr">
        <is>
          <t>KALMAR LÄN</t>
        </is>
      </c>
      <c r="G38" t="inlineStr">
        <is>
          <t>MÖRBYLÅNGA</t>
        </is>
      </c>
      <c r="I38" t="n">
        <v>2.9</v>
      </c>
      <c r="J38" t="n">
        <v>1</v>
      </c>
      <c r="K38" t="n">
        <v>1</v>
      </c>
      <c r="L38" t="n">
        <v>1</v>
      </c>
      <c r="M38" t="n">
        <v>1</v>
      </c>
      <c r="N38" t="n">
        <v>0</v>
      </c>
      <c r="O38" t="n">
        <v>0</v>
      </c>
      <c r="P38" t="n">
        <v>0</v>
      </c>
      <c r="Q38" t="n">
        <v>2</v>
      </c>
      <c r="R38" t="n">
        <v>1</v>
      </c>
      <c r="S38" t="n">
        <v>3</v>
      </c>
      <c r="T38" t="n">
        <v>3</v>
      </c>
      <c r="U38" t="n">
        <v>1</v>
      </c>
      <c r="V38" s="2" t="inlineStr">
        <is>
          <t>Mindre blåvinge
Silversmygare
Ekoxe</t>
        </is>
      </c>
      <c r="W38">
        <f>HYPERLINK("https://klasma.github.io/Logging_0840/artfynd/A 29360-2026 artfynd.xlsx", "A 29360-2026")</f>
        <v/>
      </c>
      <c r="X38">
        <f>HYPERLINK("https://klasma.github.io/Logging_0840/kartor/A 29360-2026 karta.png", "A 29360-2026")</f>
        <v/>
      </c>
      <c r="Y38">
        <f>HYPERLINK("https://klasma.github.io/Logging_0840/kartor_geotiff/A 29360-2026 georefererad karta.tif", "A 29360-2026")</f>
        <v/>
      </c>
      <c r="AA38">
        <f>HYPERLINK("https://klasma.github.io/Logging_0840/klagomål/A 29360-2026 FSC-klagomål.docx", "A 29360-2026")</f>
        <v/>
      </c>
      <c r="AB38">
        <f>HYPERLINK("https://klasma.github.io/Logging_0840/klagomålsmail/A 29360-2026 FSC-klagomål mail.docx", "A 29360-2026")</f>
        <v/>
      </c>
      <c r="AC38">
        <f>HYPERLINK("https://klasma.github.io/Logging_0840/tillsyn/A 29360-2026 tillsynsbegäran.docx", "A 29360-2026")</f>
        <v/>
      </c>
      <c r="AD38">
        <f>HYPERLINK("https://klasma.github.io/Logging_0840/tillsynsmail/A 29360-2026 tillsynsbegäran mail.docx", "A 29360-2026")</f>
        <v/>
      </c>
    </row>
    <row r="39" ht="15" customHeight="1">
      <c r="A39" t="inlineStr">
        <is>
          <t>A 54192-2021</t>
        </is>
      </c>
      <c r="B39" t="inlineStr">
        <is>
          <t>avverkningsanmälan</t>
        </is>
      </c>
      <c r="C39" t="inlineStr">
        <is>
          <t>Föryngringsavverkning</t>
        </is>
      </c>
      <c r="D39" s="1" t="n">
        <v>44470</v>
      </c>
      <c r="E39" s="1" t="n">
        <v>46272</v>
      </c>
      <c r="F39" t="inlineStr">
        <is>
          <t>KALMAR LÄN</t>
        </is>
      </c>
      <c r="G39" t="inlineStr">
        <is>
          <t>MÖRBYLÅNGA</t>
        </is>
      </c>
      <c r="I39" t="n">
        <v>1.5</v>
      </c>
      <c r="J39" t="n">
        <v>1</v>
      </c>
      <c r="K39" t="n">
        <v>0</v>
      </c>
      <c r="L39" t="n">
        <v>2</v>
      </c>
      <c r="M39" t="n">
        <v>0</v>
      </c>
      <c r="N39" t="n">
        <v>0</v>
      </c>
      <c r="O39" t="n">
        <v>0</v>
      </c>
      <c r="P39" t="n">
        <v>0</v>
      </c>
      <c r="Q39" t="n">
        <v>2</v>
      </c>
      <c r="R39" t="n">
        <v>0</v>
      </c>
      <c r="S39" t="n">
        <v>2</v>
      </c>
      <c r="T39" t="n">
        <v>2</v>
      </c>
      <c r="U39" t="n">
        <v>2</v>
      </c>
      <c r="V39" s="2" t="inlineStr">
        <is>
          <t>Ladusvala
Sminkrot</t>
        </is>
      </c>
      <c r="W39">
        <f>HYPERLINK("https://klasma.github.io/Logging_0840/artfynd/A 54192-2021 artfynd.xlsx", "A 54192-2021")</f>
        <v/>
      </c>
      <c r="X39">
        <f>HYPERLINK("https://klasma.github.io/Logging_0840/kartor/A 54192-2021 karta.png", "A 54192-2021")</f>
        <v/>
      </c>
      <c r="Y39">
        <f>HYPERLINK("https://klasma.github.io/Logging_0840/kartor_geotiff/A 54192-2021 georefererad karta.tif", "A 54192-2021")</f>
        <v/>
      </c>
      <c r="AA39">
        <f>HYPERLINK("https://klasma.github.io/Logging_0840/klagomål/A 54192-2021 FSC-klagomål.docx", "A 54192-2021")</f>
        <v/>
      </c>
      <c r="AB39">
        <f>HYPERLINK("https://klasma.github.io/Logging_0840/klagomålsmail/A 54192-2021 FSC-klagomål mail.docx", "A 54192-2021")</f>
        <v/>
      </c>
      <c r="AC39">
        <f>HYPERLINK("https://klasma.github.io/Logging_0840/tillsyn/A 54192-2021 tillsynsbegäran.docx", "A 54192-2021")</f>
        <v/>
      </c>
      <c r="AD39">
        <f>HYPERLINK("https://klasma.github.io/Logging_0840/tillsynsmail/A 54192-2021 tillsynsbegäran mail.docx", "A 54192-2021")</f>
        <v/>
      </c>
    </row>
    <row r="40" ht="15" customHeight="1">
      <c r="A40" t="inlineStr">
        <is>
          <t>A 62231-2023</t>
        </is>
      </c>
      <c r="B40" t="inlineStr">
        <is>
          <t>avverkningsanmälan</t>
        </is>
      </c>
      <c r="C40" t="inlineStr">
        <is>
          <t>Avverkning för annat ändamål</t>
        </is>
      </c>
      <c r="D40" s="1" t="n">
        <v>45267</v>
      </c>
      <c r="E40" s="1" t="n">
        <v>46272</v>
      </c>
      <c r="F40" t="inlineStr">
        <is>
          <t>KALMAR LÄN</t>
        </is>
      </c>
      <c r="G40" t="inlineStr">
        <is>
          <t>MÖRBYLÅNGA</t>
        </is>
      </c>
      <c r="I40" t="n">
        <v>1.6</v>
      </c>
      <c r="J40" t="n">
        <v>1</v>
      </c>
      <c r="K40" t="n">
        <v>1</v>
      </c>
      <c r="L40" t="n">
        <v>0</v>
      </c>
      <c r="M40" t="n">
        <v>0</v>
      </c>
      <c r="N40" t="n">
        <v>0</v>
      </c>
      <c r="O40" t="n">
        <v>0</v>
      </c>
      <c r="P40" t="n">
        <v>0</v>
      </c>
      <c r="Q40" t="n">
        <v>0</v>
      </c>
      <c r="R40" t="n">
        <v>0</v>
      </c>
      <c r="S40" t="n">
        <v>2</v>
      </c>
      <c r="T40" t="n">
        <v>2</v>
      </c>
      <c r="U40" t="n">
        <v>2</v>
      </c>
      <c r="V40" s="2" t="inlineStr">
        <is>
          <t>Murgröna
Blåsippa</t>
        </is>
      </c>
      <c r="W40">
        <f>HYPERLINK("https://klasma.github.io/Logging_0840/artfynd/A 62231-2023 artfynd.xlsx", "A 62231-2023")</f>
        <v/>
      </c>
      <c r="X40">
        <f>HYPERLINK("https://klasma.github.io/Logging_0840/kartor/A 62231-2023 karta.png", "A 62231-2023")</f>
        <v/>
      </c>
      <c r="Y40">
        <f>HYPERLINK("https://klasma.github.io/Logging_0840/kartor_geotiff/A 62231-2023 georefererad karta.tif", "A 62231-2023")</f>
        <v/>
      </c>
      <c r="AA40">
        <f>HYPERLINK("https://klasma.github.io/Logging_0840/klagomål/A 62231-2023 FSC-klagomål.docx", "A 62231-2023")</f>
        <v/>
      </c>
      <c r="AB40">
        <f>HYPERLINK("https://klasma.github.io/Logging_0840/klagomålsmail/A 62231-2023 FSC-klagomål mail.docx", "A 62231-2023")</f>
        <v/>
      </c>
      <c r="AC40">
        <f>HYPERLINK("https://klasma.github.io/Logging_0840/tillsyn/A 62231-2023 tillsynsbegäran.docx", "A 62231-2023")</f>
        <v/>
      </c>
      <c r="AD40">
        <f>HYPERLINK("https://klasma.github.io/Logging_0840/tillsynsmail/A 62231-2023 tillsynsbegäran mail.docx", "A 62231-2023")</f>
        <v/>
      </c>
    </row>
    <row r="41" ht="15" customHeight="1">
      <c r="A41" t="inlineStr">
        <is>
          <t>A 72167-2021</t>
        </is>
      </c>
      <c r="B41" t="inlineStr">
        <is>
          <t>avverkningsanmälan</t>
        </is>
      </c>
      <c r="C41" t="inlineStr">
        <is>
          <t>Föryngringsavverkning</t>
        </is>
      </c>
      <c r="D41" s="1" t="n">
        <v>44544</v>
      </c>
      <c r="E41" s="1" t="n">
        <v>46272</v>
      </c>
      <c r="F41" t="inlineStr">
        <is>
          <t>KALMAR LÄN</t>
        </is>
      </c>
      <c r="G41" t="inlineStr">
        <is>
          <t>MÖRBYLÅNGA</t>
        </is>
      </c>
      <c r="I41" t="n">
        <v>3.5</v>
      </c>
      <c r="J41" t="n">
        <v>1</v>
      </c>
      <c r="K41" t="n">
        <v>1</v>
      </c>
      <c r="L41" t="n">
        <v>0</v>
      </c>
      <c r="M41" t="n">
        <v>0</v>
      </c>
      <c r="N41" t="n">
        <v>0</v>
      </c>
      <c r="O41" t="n">
        <v>0</v>
      </c>
      <c r="P41" t="n">
        <v>0</v>
      </c>
      <c r="Q41" t="n">
        <v>0</v>
      </c>
      <c r="R41" t="n">
        <v>0</v>
      </c>
      <c r="S41" t="n">
        <v>2</v>
      </c>
      <c r="T41" t="n">
        <v>2</v>
      </c>
      <c r="U41" t="n">
        <v>2</v>
      </c>
      <c r="V41" s="2" t="inlineStr">
        <is>
          <t>Murgröna
Röd glada</t>
        </is>
      </c>
      <c r="W41">
        <f>HYPERLINK("https://klasma.github.io/Logging_0840/artfynd/A 72167-2021 artfynd.xlsx", "A 72167-2021")</f>
        <v/>
      </c>
      <c r="X41">
        <f>HYPERLINK("https://klasma.github.io/Logging_0840/kartor/A 72167-2021 karta.png", "A 72167-2021")</f>
        <v/>
      </c>
      <c r="Y41">
        <f>HYPERLINK("https://klasma.github.io/Logging_0840/kartor_geotiff/A 72167-2021 georefererad karta.tif", "A 72167-2021")</f>
        <v/>
      </c>
      <c r="AA41">
        <f>HYPERLINK("https://klasma.github.io/Logging_0840/klagomål/A 72167-2021 FSC-klagomål.docx", "A 72167-2021")</f>
        <v/>
      </c>
      <c r="AB41">
        <f>HYPERLINK("https://klasma.github.io/Logging_0840/klagomålsmail/A 72167-2021 FSC-klagomål mail.docx", "A 72167-2021")</f>
        <v/>
      </c>
      <c r="AC41">
        <f>HYPERLINK("https://klasma.github.io/Logging_0840/tillsyn/A 72167-2021 tillsynsbegäran.docx", "A 72167-2021")</f>
        <v/>
      </c>
      <c r="AD41">
        <f>HYPERLINK("https://klasma.github.io/Logging_0840/tillsynsmail/A 72167-2021 tillsynsbegäran mail.docx", "A 72167-2021")</f>
        <v/>
      </c>
      <c r="AE41">
        <f>HYPERLINK("https://klasma.github.io/Logging_0840/fåglar/A 72167-2021 prioriterade fågelarter.docx", "A 72167-2021")</f>
        <v/>
      </c>
    </row>
    <row r="42" ht="15" customHeight="1">
      <c r="A42" t="inlineStr">
        <is>
          <t>S 2138-2026</t>
        </is>
      </c>
      <c r="B42" t="inlineStr">
        <is>
          <t>samrådsanmälan</t>
        </is>
      </c>
      <c r="C42" t="inlineStr">
        <is>
          <t>Annan skogsbruksåtgärd</t>
        </is>
      </c>
      <c r="D42" s="1" t="n">
        <v>46246</v>
      </c>
      <c r="E42" s="1" t="n">
        <v>46272</v>
      </c>
      <c r="F42" t="inlineStr">
        <is>
          <t>KALMAR LÄN</t>
        </is>
      </c>
      <c r="G42" t="inlineStr">
        <is>
          <t>MÖRBYLÅNGA</t>
        </is>
      </c>
      <c r="I42" t="n">
        <v>5.4</v>
      </c>
      <c r="J42" t="n">
        <v>1</v>
      </c>
      <c r="K42" t="n">
        <v>1</v>
      </c>
      <c r="L42" t="n">
        <v>0</v>
      </c>
      <c r="M42" t="n">
        <v>0</v>
      </c>
      <c r="N42" t="n">
        <v>1</v>
      </c>
      <c r="O42" t="n">
        <v>0</v>
      </c>
      <c r="P42" t="n">
        <v>0</v>
      </c>
      <c r="Q42" t="n">
        <v>1</v>
      </c>
      <c r="R42" t="n">
        <v>1</v>
      </c>
      <c r="S42" t="n">
        <v>2</v>
      </c>
      <c r="T42" t="n">
        <v>2</v>
      </c>
      <c r="U42" t="n">
        <v>0</v>
      </c>
      <c r="V42" s="2" t="inlineStr">
        <is>
          <t>Ask
Ekoxe</t>
        </is>
      </c>
      <c r="W42">
        <f>HYPERLINK("https://klasma.github.io/Logging_0840/artfynd/S 2138-2026 artfynd.xlsx", "S 2138-2026")</f>
        <v/>
      </c>
      <c r="X42">
        <f>HYPERLINK("https://klasma.github.io/Logging_0840/kartor/S 2138-2026 karta.png", "S 2138-2026")</f>
        <v/>
      </c>
      <c r="Y42">
        <f>HYPERLINK("https://klasma.github.io/Logging_0840/kartor_geotiff/S 2138-2026 georefererad karta.tif", "S 2138-2026")</f>
        <v/>
      </c>
      <c r="AA42">
        <f>HYPERLINK("https://klasma.github.io/Logging_0840/klagomål/S 2138-2026 FSC-klagomål.docx", "S 2138-2026")</f>
        <v/>
      </c>
      <c r="AB42">
        <f>HYPERLINK("https://klasma.github.io/Logging_0840/klagomålsmail/S 2138-2026 FSC-klagomål mail.docx", "S 2138-2026")</f>
        <v/>
      </c>
      <c r="AC42">
        <f>HYPERLINK("https://klasma.github.io/Logging_0840/tillsyn/S 2138-2026 tillsynsbegäran.docx", "S 2138-2026")</f>
        <v/>
      </c>
      <c r="AD42">
        <f>HYPERLINK("https://klasma.github.io/Logging_0840/tillsynsmail/S 2138-2026 tillsynsbegäran mail.docx", "S 2138-2026")</f>
        <v/>
      </c>
    </row>
    <row r="43" ht="15" customHeight="1">
      <c r="A43" t="inlineStr">
        <is>
          <t>A 24698-2023</t>
        </is>
      </c>
      <c r="B43" t="inlineStr">
        <is>
          <t>avverkningsanmälan</t>
        </is>
      </c>
      <c r="C43" t="inlineStr">
        <is>
          <t>Föryngringsavverkning</t>
        </is>
      </c>
      <c r="D43" s="1" t="n">
        <v>45084</v>
      </c>
      <c r="E43" s="1" t="n">
        <v>46272</v>
      </c>
      <c r="F43" t="inlineStr">
        <is>
          <t>KALMAR LÄN</t>
        </is>
      </c>
      <c r="G43" t="inlineStr">
        <is>
          <t>MÖRBYLÅNGA</t>
        </is>
      </c>
      <c r="I43" t="n">
        <v>5.5</v>
      </c>
      <c r="J43" t="n">
        <v>0</v>
      </c>
      <c r="K43" t="n">
        <v>0</v>
      </c>
      <c r="L43" t="n">
        <v>1</v>
      </c>
      <c r="M43" t="n">
        <v>0</v>
      </c>
      <c r="N43" t="n">
        <v>0</v>
      </c>
      <c r="O43" t="n">
        <v>0</v>
      </c>
      <c r="P43" t="n">
        <v>0</v>
      </c>
      <c r="Q43" t="n">
        <v>1</v>
      </c>
      <c r="R43" t="n">
        <v>0</v>
      </c>
      <c r="S43" t="n">
        <v>1</v>
      </c>
      <c r="T43" t="n">
        <v>1</v>
      </c>
      <c r="U43" t="n">
        <v>1</v>
      </c>
      <c r="V43" s="2" t="inlineStr">
        <is>
          <t>Sårläka</t>
        </is>
      </c>
      <c r="W43">
        <f>HYPERLINK("https://klasma.github.io/Logging_0840/artfynd/A 24698-2023 artfynd.xlsx", "A 24698-2023")</f>
        <v/>
      </c>
      <c r="X43">
        <f>HYPERLINK("https://klasma.github.io/Logging_0840/kartor/A 24698-2023 karta.png", "A 24698-2023")</f>
        <v/>
      </c>
      <c r="Y43">
        <f>HYPERLINK("https://klasma.github.io/Logging_0840/kartor_geotiff/A 24698-2023 georefererad karta.tif", "A 24698-2023")</f>
        <v/>
      </c>
      <c r="AA43">
        <f>HYPERLINK("https://klasma.github.io/Logging_0840/klagomål/A 24698-2023 FSC-klagomål.docx", "A 24698-2023")</f>
        <v/>
      </c>
      <c r="AB43">
        <f>HYPERLINK("https://klasma.github.io/Logging_0840/klagomålsmail/A 24698-2023 FSC-klagomål mail.docx", "A 24698-2023")</f>
        <v/>
      </c>
      <c r="AC43">
        <f>HYPERLINK("https://klasma.github.io/Logging_0840/tillsyn/A 24698-2023 tillsynsbegäran.docx", "A 24698-2023")</f>
        <v/>
      </c>
      <c r="AD43">
        <f>HYPERLINK("https://klasma.github.io/Logging_0840/tillsynsmail/A 24698-2023 tillsynsbegäran mail.docx", "A 24698-2023")</f>
        <v/>
      </c>
    </row>
    <row r="44" ht="15" customHeight="1">
      <c r="A44" t="inlineStr">
        <is>
          <t>A 62183-2025</t>
        </is>
      </c>
      <c r="B44" t="inlineStr">
        <is>
          <t>avverkningsanmälan</t>
        </is>
      </c>
      <c r="C44" t="inlineStr">
        <is>
          <t>Föryngringsavverkning</t>
        </is>
      </c>
      <c r="D44" s="1" t="n">
        <v>46006</v>
      </c>
      <c r="E44" s="1" t="n">
        <v>46272</v>
      </c>
      <c r="F44" t="inlineStr">
        <is>
          <t>KALMAR LÄN</t>
        </is>
      </c>
      <c r="G44" t="inlineStr">
        <is>
          <t>MÖRBYLÅNGA</t>
        </is>
      </c>
      <c r="I44" t="n">
        <v>0.8</v>
      </c>
      <c r="J44" t="n">
        <v>0</v>
      </c>
      <c r="K44" t="n">
        <v>0</v>
      </c>
      <c r="L44" t="n">
        <v>1</v>
      </c>
      <c r="M44" t="n">
        <v>0</v>
      </c>
      <c r="N44" t="n">
        <v>0</v>
      </c>
      <c r="O44" t="n">
        <v>0</v>
      </c>
      <c r="P44" t="n">
        <v>0</v>
      </c>
      <c r="Q44" t="n">
        <v>1</v>
      </c>
      <c r="R44" t="n">
        <v>0</v>
      </c>
      <c r="S44" t="n">
        <v>1</v>
      </c>
      <c r="T44" t="n">
        <v>1</v>
      </c>
      <c r="U44" t="n">
        <v>0</v>
      </c>
      <c r="V44" s="2" t="inlineStr">
        <is>
          <t>Kösa</t>
        </is>
      </c>
      <c r="W44">
        <f>HYPERLINK("https://klasma.github.io/Logging_0840/artfynd/A 62183-2025 artfynd.xlsx", "A 62183-2025")</f>
        <v/>
      </c>
      <c r="X44">
        <f>HYPERLINK("https://klasma.github.io/Logging_0840/kartor/A 62183-2025 karta.png", "A 62183-2025")</f>
        <v/>
      </c>
      <c r="Y44">
        <f>HYPERLINK("https://klasma.github.io/Logging_0840/kartor_geotiff/A 62183-2025 georefererad karta.tif", "A 62183-2025")</f>
        <v/>
      </c>
      <c r="AA44">
        <f>HYPERLINK("https://klasma.github.io/Logging_0840/klagomål/A 62183-2025 FSC-klagomål.docx", "A 62183-2025")</f>
        <v/>
      </c>
      <c r="AB44">
        <f>HYPERLINK("https://klasma.github.io/Logging_0840/klagomålsmail/A 62183-2025 FSC-klagomål mail.docx", "A 62183-2025")</f>
        <v/>
      </c>
      <c r="AC44">
        <f>HYPERLINK("https://klasma.github.io/Logging_0840/tillsyn/A 62183-2025 tillsynsbegäran.docx", "A 62183-2025")</f>
        <v/>
      </c>
      <c r="AD44">
        <f>HYPERLINK("https://klasma.github.io/Logging_0840/tillsynsmail/A 62183-2025 tillsynsbegäran mail.docx", "A 62183-2025")</f>
        <v/>
      </c>
    </row>
    <row r="45" ht="15" customHeight="1">
      <c r="A45" t="inlineStr">
        <is>
          <t>A 13040-2024</t>
        </is>
      </c>
      <c r="B45" t="inlineStr">
        <is>
          <t>avverkningsanmälan</t>
        </is>
      </c>
      <c r="C45" t="inlineStr">
        <is>
          <t>Avverkning för annat ändamål</t>
        </is>
      </c>
      <c r="D45" s="1" t="n">
        <v>45385</v>
      </c>
      <c r="E45" s="1" t="n">
        <v>46272</v>
      </c>
      <c r="F45" t="inlineStr">
        <is>
          <t>KALMAR LÄN</t>
        </is>
      </c>
      <c r="G45" t="inlineStr">
        <is>
          <t>MÖRBYLÅNGA</t>
        </is>
      </c>
      <c r="I45" t="n">
        <v>1.2</v>
      </c>
      <c r="J45" t="n">
        <v>0</v>
      </c>
      <c r="K45" t="n">
        <v>0</v>
      </c>
      <c r="L45" t="n">
        <v>0</v>
      </c>
      <c r="M45" t="n">
        <v>0</v>
      </c>
      <c r="N45" t="n">
        <v>1</v>
      </c>
      <c r="O45" t="n">
        <v>0</v>
      </c>
      <c r="P45" t="n">
        <v>0</v>
      </c>
      <c r="Q45" t="n">
        <v>1</v>
      </c>
      <c r="R45" t="n">
        <v>1</v>
      </c>
      <c r="S45" t="n">
        <v>1</v>
      </c>
      <c r="T45" t="n">
        <v>1</v>
      </c>
      <c r="U45" t="n">
        <v>1</v>
      </c>
      <c r="V45" s="2" t="inlineStr">
        <is>
          <t>Skogsalm</t>
        </is>
      </c>
      <c r="W45">
        <f>HYPERLINK("https://klasma.github.io/Logging_0840/artfynd/A 13040-2024 artfynd.xlsx", "A 13040-2024")</f>
        <v/>
      </c>
      <c r="X45">
        <f>HYPERLINK("https://klasma.github.io/Logging_0840/kartor/A 13040-2024 karta.png", "A 13040-2024")</f>
        <v/>
      </c>
      <c r="Y45">
        <f>HYPERLINK("https://klasma.github.io/Logging_0840/kartor_geotiff/A 13040-2024 georefererad karta.tif", "A 13040-2024")</f>
        <v/>
      </c>
      <c r="AA45">
        <f>HYPERLINK("https://klasma.github.io/Logging_0840/klagomål/A 13040-2024 FSC-klagomål.docx", "A 13040-2024")</f>
        <v/>
      </c>
      <c r="AB45">
        <f>HYPERLINK("https://klasma.github.io/Logging_0840/klagomålsmail/A 13040-2024 FSC-klagomål mail.docx", "A 13040-2024")</f>
        <v/>
      </c>
      <c r="AC45">
        <f>HYPERLINK("https://klasma.github.io/Logging_0840/tillsyn/A 13040-2024 tillsynsbegäran.docx", "A 13040-2024")</f>
        <v/>
      </c>
      <c r="AD45">
        <f>HYPERLINK("https://klasma.github.io/Logging_0840/tillsynsmail/A 13040-2024 tillsynsbegäran mail.docx", "A 13040-2024")</f>
        <v/>
      </c>
    </row>
    <row r="46" ht="15" customHeight="1">
      <c r="A46" t="inlineStr">
        <is>
          <t>A 13384-2023</t>
        </is>
      </c>
      <c r="B46" t="inlineStr">
        <is>
          <t>avverkningsanmälan</t>
        </is>
      </c>
      <c r="C46" t="inlineStr">
        <is>
          <t>Föryngringsavverkning</t>
        </is>
      </c>
      <c r="D46" s="1" t="n">
        <v>45005</v>
      </c>
      <c r="E46" s="1" t="n">
        <v>46272</v>
      </c>
      <c r="F46" t="inlineStr">
        <is>
          <t>KALMAR LÄN</t>
        </is>
      </c>
      <c r="G46" t="inlineStr">
        <is>
          <t>MÖRBYLÅNGA</t>
        </is>
      </c>
      <c r="I46" t="n">
        <v>0.9</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HYPERLINK("https://klasma.github.io/Logging_0840/artfynd/A 13384-2023 artfynd.xlsx", "A 13384-2023")</f>
        <v/>
      </c>
      <c r="X46">
        <f>HYPERLINK("https://klasma.github.io/Logging_0840/kartor/A 13384-2023 karta.png", "A 13384-2023")</f>
        <v/>
      </c>
      <c r="Y46">
        <f>HYPERLINK("https://klasma.github.io/Logging_0840/kartor_geotiff/A 13384-2023 georefererad karta.tif", "A 13384-2023")</f>
        <v/>
      </c>
      <c r="AA46">
        <f>HYPERLINK("https://klasma.github.io/Logging_0840/klagomål/A 13384-2023 FSC-klagomål.docx", "A 13384-2023")</f>
        <v/>
      </c>
      <c r="AB46">
        <f>HYPERLINK("https://klasma.github.io/Logging_0840/klagomålsmail/A 13384-2023 FSC-klagomål mail.docx", "A 13384-2023")</f>
        <v/>
      </c>
      <c r="AC46">
        <f>HYPERLINK("https://klasma.github.io/Logging_0840/tillsyn/A 13384-2023 tillsynsbegäran.docx", "A 13384-2023")</f>
        <v/>
      </c>
      <c r="AD46">
        <f>HYPERLINK("https://klasma.github.io/Logging_0840/tillsynsmail/A 13384-2023 tillsynsbegäran mail.docx", "A 13384-2023")</f>
        <v/>
      </c>
    </row>
    <row r="47" ht="15" customHeight="1">
      <c r="A47" t="inlineStr">
        <is>
          <t>A 30492-2026</t>
        </is>
      </c>
      <c r="B47" t="inlineStr">
        <is>
          <t>avverkningsanmälan</t>
        </is>
      </c>
      <c r="C47" t="inlineStr">
        <is>
          <t>Avverkning för annat ändamål</t>
        </is>
      </c>
      <c r="D47" s="1" t="n">
        <v>46210</v>
      </c>
      <c r="E47" s="1" t="n">
        <v>46272</v>
      </c>
      <c r="F47" t="inlineStr">
        <is>
          <t>KALMAR LÄN</t>
        </is>
      </c>
      <c r="G47" t="inlineStr">
        <is>
          <t>MÖRBYLÅNGA</t>
        </is>
      </c>
      <c r="I47" t="n">
        <v>2</v>
      </c>
      <c r="J47" t="n">
        <v>0</v>
      </c>
      <c r="K47" t="n">
        <v>0</v>
      </c>
      <c r="L47" t="n">
        <v>1</v>
      </c>
      <c r="M47" t="n">
        <v>0</v>
      </c>
      <c r="N47" t="n">
        <v>0</v>
      </c>
      <c r="O47" t="n">
        <v>0</v>
      </c>
      <c r="P47" t="n">
        <v>0</v>
      </c>
      <c r="Q47" t="n">
        <v>1</v>
      </c>
      <c r="R47" t="n">
        <v>0</v>
      </c>
      <c r="S47" t="n">
        <v>1</v>
      </c>
      <c r="T47" t="n">
        <v>1</v>
      </c>
      <c r="U47" t="n">
        <v>0</v>
      </c>
      <c r="V47" s="2" t="inlineStr">
        <is>
          <t>Jordtistel</t>
        </is>
      </c>
      <c r="W47">
        <f>HYPERLINK("https://klasma.github.io/Logging_0840/artfynd/A 30492-2026 artfynd.xlsx", "A 30492-2026")</f>
        <v/>
      </c>
      <c r="X47">
        <f>HYPERLINK("https://klasma.github.io/Logging_0840/kartor/A 30492-2026 karta.png", "A 30492-2026")</f>
        <v/>
      </c>
      <c r="Y47">
        <f>HYPERLINK("https://klasma.github.io/Logging_0840/kartor_geotiff/A 30492-2026 georefererad karta.tif", "A 30492-2026")</f>
        <v/>
      </c>
      <c r="AA47">
        <f>HYPERLINK("https://klasma.github.io/Logging_0840/klagomål/A 30492-2026 FSC-klagomål.docx", "A 30492-2026")</f>
        <v/>
      </c>
      <c r="AB47">
        <f>HYPERLINK("https://klasma.github.io/Logging_0840/klagomålsmail/A 30492-2026 FSC-klagomål mail.docx", "A 30492-2026")</f>
        <v/>
      </c>
      <c r="AC47">
        <f>HYPERLINK("https://klasma.github.io/Logging_0840/tillsyn/A 30492-2026 tillsynsbegäran.docx", "A 30492-2026")</f>
        <v/>
      </c>
      <c r="AD47">
        <f>HYPERLINK("https://klasma.github.io/Logging_0840/tillsynsmail/A 30492-2026 tillsynsbegäran mail.docx", "A 30492-2026")</f>
        <v/>
      </c>
    </row>
    <row r="48" ht="15" customHeight="1">
      <c r="A48" t="inlineStr">
        <is>
          <t>A 26876-2022</t>
        </is>
      </c>
      <c r="B48" t="inlineStr">
        <is>
          <t>avverkningsanmälan</t>
        </is>
      </c>
      <c r="C48" t="inlineStr">
        <is>
          <t>Avverkning för annat ändamål</t>
        </is>
      </c>
      <c r="D48" s="1" t="n">
        <v>44740</v>
      </c>
      <c r="E48" s="1" t="n">
        <v>46272</v>
      </c>
      <c r="F48" t="inlineStr">
        <is>
          <t>KALMAR LÄN</t>
        </is>
      </c>
      <c r="G48" t="inlineStr">
        <is>
          <t>MÖRBYLÅNGA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57407-2025</t>
        </is>
      </c>
      <c r="B49" t="inlineStr">
        <is>
          <t>avverkningsanmälan</t>
        </is>
      </c>
      <c r="C49" t="inlineStr">
        <is>
          <t>Föryngringsavverkning</t>
        </is>
      </c>
      <c r="D49" s="1" t="n">
        <v>45980</v>
      </c>
      <c r="E49" s="1" t="n">
        <v>46272</v>
      </c>
      <c r="F49" t="inlineStr">
        <is>
          <t>KALMAR LÄN</t>
        </is>
      </c>
      <c r="G49" t="inlineStr">
        <is>
          <t>MÖRBYLÅNGA</t>
        </is>
      </c>
      <c r="I49" t="n">
        <v>0.8</v>
      </c>
      <c r="J49" t="n">
        <v>0</v>
      </c>
      <c r="K49" t="n">
        <v>0</v>
      </c>
      <c r="L49" t="n">
        <v>0</v>
      </c>
      <c r="M49" t="n">
        <v>0</v>
      </c>
      <c r="N49" t="n">
        <v>0</v>
      </c>
      <c r="O49" t="n">
        <v>0</v>
      </c>
      <c r="P49" t="n">
        <v>0</v>
      </c>
      <c r="Q49" t="n">
        <v>0</v>
      </c>
      <c r="R49" t="n">
        <v>0</v>
      </c>
      <c r="S49" t="n">
        <v>0</v>
      </c>
      <c r="T49" t="n">
        <v>0</v>
      </c>
      <c r="U49" t="n">
        <v>0</v>
      </c>
      <c r="V49" s="2" t="inlineStr"/>
    </row>
    <row r="50">
      <c r="A50" t="inlineStr">
        <is>
          <t>S 1602-2026</t>
        </is>
      </c>
      <c r="B50" t="inlineStr">
        <is>
          <t>samrådsanmälan</t>
        </is>
      </c>
      <c r="C50" t="inlineStr">
        <is>
          <t>Annan skogsbruksåtgärd</t>
        </is>
      </c>
      <c r="D50" s="1" t="n">
        <v>46171</v>
      </c>
      <c r="E50" s="1" t="n">
        <v>46272</v>
      </c>
      <c r="F50" t="inlineStr">
        <is>
          <t>KALMAR LÄN</t>
        </is>
      </c>
      <c r="G50" t="inlineStr">
        <is>
          <t>MÖRBYLÅNGA</t>
        </is>
      </c>
      <c r="I50" t="n">
        <v>2.1</v>
      </c>
      <c r="J50" t="n">
        <v>0</v>
      </c>
      <c r="K50" t="n">
        <v>0</v>
      </c>
      <c r="L50" t="n">
        <v>0</v>
      </c>
      <c r="M50" t="n">
        <v>0</v>
      </c>
      <c r="N50" t="n">
        <v>0</v>
      </c>
      <c r="O50" t="n">
        <v>0</v>
      </c>
      <c r="P50" t="n">
        <v>0</v>
      </c>
      <c r="Q50" t="n">
        <v>0</v>
      </c>
      <c r="R50" t="n">
        <v>0</v>
      </c>
      <c r="S50" t="n">
        <v>0</v>
      </c>
      <c r="T50" t="n">
        <v>0</v>
      </c>
      <c r="U50" t="n">
        <v>0</v>
      </c>
      <c r="V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2026-09-07T02:06:49Z</dcterms:created>
  <dcterms:modified xmlns:dcterms="http://purl.org/dc/terms/" xmlns:xsi="http://www.w3.org/2001/XMLSchema-instance" xsi:type="dcterms:W3CDTF">2026-09-07T02:06:49Z</dcterms:modified>
</cp:coreProperties>
</file>