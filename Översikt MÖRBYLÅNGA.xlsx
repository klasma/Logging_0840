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46312</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46312</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46312</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46312</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46312</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46312</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46312</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46312</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46312</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46312</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38039-2022</t>
        </is>
      </c>
      <c r="B15" t="inlineStr">
        <is>
          <t>avverkningsanmälan</t>
        </is>
      </c>
      <c r="C15" t="inlineStr">
        <is>
          <t>Avverkning för annat ändamål</t>
        </is>
      </c>
      <c r="D15" s="1" t="n">
        <v>44811</v>
      </c>
      <c r="E15" s="1" t="n">
        <v>46312</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46312</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46312</v>
      </c>
      <c r="F17" t="inlineStr">
        <is>
          <t>KALMAR LÄN</t>
        </is>
      </c>
      <c r="G17" t="inlineStr">
        <is>
          <t>MÖRBYLÅNGA</t>
        </is>
      </c>
      <c r="I17" t="n">
        <v>1</v>
      </c>
      <c r="J17" t="n">
        <v>1</v>
      </c>
      <c r="K17" t="n">
        <v>2</v>
      </c>
      <c r="L17" t="n">
        <v>7</v>
      </c>
      <c r="M17" t="n">
        <v>0</v>
      </c>
      <c r="N17" t="n">
        <v>1</v>
      </c>
      <c r="O17" t="n">
        <v>0</v>
      </c>
      <c r="P17" t="n">
        <v>0</v>
      </c>
      <c r="Q17" t="n">
        <v>8</v>
      </c>
      <c r="R17" t="n">
        <v>1</v>
      </c>
      <c r="S17" t="n">
        <v>11</v>
      </c>
      <c r="T17" t="n">
        <v>20</v>
      </c>
      <c r="U17" t="n">
        <v>20</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46312</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46312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46312</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46312</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46312</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46312</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46312</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46312</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46312</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46312</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46312</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46312</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46312</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46312</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46312</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46312</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46312</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46312</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46312</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46312</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46312</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46312</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46312</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46312</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62183-2025</t>
        </is>
      </c>
      <c r="B42" t="inlineStr">
        <is>
          <t>avverkningsanmälan</t>
        </is>
      </c>
      <c r="C42" t="inlineStr">
        <is>
          <t>Föryngringsavverkning</t>
        </is>
      </c>
      <c r="D42" s="1" t="n">
        <v>46006</v>
      </c>
      <c r="E42" s="1" t="n">
        <v>46312</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13384-2023</t>
        </is>
      </c>
      <c r="B43" t="inlineStr">
        <is>
          <t>avverkningsanmälan</t>
        </is>
      </c>
      <c r="C43" t="inlineStr">
        <is>
          <t>Föryngringsavverkning</t>
        </is>
      </c>
      <c r="D43" s="1" t="n">
        <v>45005</v>
      </c>
      <c r="E43" s="1" t="n">
        <v>46312</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46312</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36928-2026</t>
        </is>
      </c>
      <c r="B45" t="inlineStr">
        <is>
          <t>avverkningsanmälan</t>
        </is>
      </c>
      <c r="C45" t="inlineStr">
        <is>
          <t>Föryngringsavverkning</t>
        </is>
      </c>
      <c r="D45" s="1" t="n">
        <v>46273</v>
      </c>
      <c r="E45" s="1" t="n">
        <v>46312</v>
      </c>
      <c r="F45" t="inlineStr">
        <is>
          <t>KALMAR LÄN</t>
        </is>
      </c>
      <c r="G45" t="inlineStr">
        <is>
          <t>MÖRBYLÅNGA</t>
        </is>
      </c>
      <c r="I45" t="n">
        <v>1.3</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HYPERLINK("https://klasma.github.io/Logging_0840/artfynd/A 36928-2026 artfynd.xlsx", "A 36928-2026")</f>
        <v/>
      </c>
      <c r="X45">
        <f>HYPERLINK("https://klasma.github.io/Logging_0840/kartor/A 36928-2026 karta.png", "A 36928-2026")</f>
        <v/>
      </c>
      <c r="Y45">
        <f>HYPERLINK("https://klasma.github.io/Logging_0840/kartor_geotiff/A 36928-2026 georefererad karta.tif", "A 36928-2026")</f>
        <v/>
      </c>
      <c r="AA45">
        <f>HYPERLINK("https://klasma.github.io/Logging_0840/klagomål/A 36928-2026 FSC-klagomål.docx", "A 36928-2026")</f>
        <v/>
      </c>
      <c r="AB45">
        <f>HYPERLINK("https://klasma.github.io/Logging_0840/klagomålsmail/A 36928-2026 FSC-klagomål mail.docx", "A 36928-2026")</f>
        <v/>
      </c>
      <c r="AC45">
        <f>HYPERLINK("https://klasma.github.io/Logging_0840/tillsyn/A 36928-2026 tillsynsbegäran.docx", "A 36928-2026")</f>
        <v/>
      </c>
      <c r="AD45">
        <f>HYPERLINK("https://klasma.github.io/Logging_0840/tillsynsmail/A 36928-2026 tillsynsbegäran mail.docx", "A 36928-2026")</f>
        <v/>
      </c>
    </row>
    <row r="46" ht="15" customHeight="1">
      <c r="A46" t="inlineStr">
        <is>
          <t>A 24698-2023</t>
        </is>
      </c>
      <c r="B46" t="inlineStr">
        <is>
          <t>avverkningsanmälan</t>
        </is>
      </c>
      <c r="C46" t="inlineStr">
        <is>
          <t>Föryngringsavverkning</t>
        </is>
      </c>
      <c r="D46" s="1" t="n">
        <v>45084</v>
      </c>
      <c r="E46" s="1" t="n">
        <v>46312</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46312</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46312</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46312</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2026-10-17T02:01:19Z</dcterms:created>
  <dcterms:modified xmlns:dcterms="http://purl.org/dc/terms/" xmlns:xsi="http://www.w3.org/2001/XMLSchema-instance" xsi:type="dcterms:W3CDTF">2026-10-17T02:01:19Z</dcterms:modified>
</cp:coreProperties>
</file>