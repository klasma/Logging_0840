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46311</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46311</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46311</v>
      </c>
      <c r="F4" t="inlineStr">
        <is>
          <t>KALMAR LÄN</t>
        </is>
      </c>
      <c r="G4" t="inlineStr">
        <is>
          <t>MÖRBYLÅNGA</t>
        </is>
      </c>
      <c r="I4" t="n">
        <v>1.5</v>
      </c>
      <c r="J4" t="n">
        <v>4</v>
      </c>
      <c r="K4" t="n">
        <v>2</v>
      </c>
      <c r="L4" t="n">
        <v>29</v>
      </c>
      <c r="M4" t="n">
        <v>9</v>
      </c>
      <c r="N4" t="n">
        <v>4</v>
      </c>
      <c r="O4" t="n">
        <v>0</v>
      </c>
      <c r="P4" t="n">
        <v>0</v>
      </c>
      <c r="Q4" t="n">
        <v>42</v>
      </c>
      <c r="R4" t="n">
        <v>13</v>
      </c>
      <c r="S4" t="n">
        <v>45</v>
      </c>
      <c r="T4" t="n">
        <v>71</v>
      </c>
      <c r="U4" t="n">
        <v>36</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46311</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46311</v>
      </c>
      <c r="F6" t="inlineStr">
        <is>
          <t>KALMAR LÄN</t>
        </is>
      </c>
      <c r="G6" t="inlineStr">
        <is>
          <t>MÖRBYLÅNGA</t>
        </is>
      </c>
      <c r="I6" t="n">
        <v>7.3</v>
      </c>
      <c r="J6" t="n">
        <v>10</v>
      </c>
      <c r="K6" t="n">
        <v>7</v>
      </c>
      <c r="L6" t="n">
        <v>18</v>
      </c>
      <c r="M6" t="n">
        <v>3</v>
      </c>
      <c r="N6" t="n">
        <v>2</v>
      </c>
      <c r="O6" t="n">
        <v>1</v>
      </c>
      <c r="P6" t="n">
        <v>0</v>
      </c>
      <c r="Q6" t="n">
        <v>24</v>
      </c>
      <c r="R6" t="n">
        <v>6</v>
      </c>
      <c r="S6" t="n">
        <v>36</v>
      </c>
      <c r="T6" t="n">
        <v>187</v>
      </c>
      <c r="U6" t="n">
        <v>147</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46311</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46311</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46311</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46311</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46311</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46311</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46311</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46311</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38039-2022</t>
        </is>
      </c>
      <c r="B15" t="inlineStr">
        <is>
          <t>avverkningsanmälan</t>
        </is>
      </c>
      <c r="C15" t="inlineStr">
        <is>
          <t>Avverkning för annat ändamål</t>
        </is>
      </c>
      <c r="D15" s="1" t="n">
        <v>44811</v>
      </c>
      <c r="E15" s="1" t="n">
        <v>46311</v>
      </c>
      <c r="F15" t="inlineStr">
        <is>
          <t>KALMAR LÄN</t>
        </is>
      </c>
      <c r="G15" t="inlineStr">
        <is>
          <t>MÖRBYLÅNGA</t>
        </is>
      </c>
      <c r="I15" t="n">
        <v>7.4</v>
      </c>
      <c r="J15" t="n">
        <v>4</v>
      </c>
      <c r="K15" t="n">
        <v>1</v>
      </c>
      <c r="L15" t="n">
        <v>4</v>
      </c>
      <c r="M15" t="n">
        <v>1</v>
      </c>
      <c r="N15" t="n">
        <v>1</v>
      </c>
      <c r="O15" t="n">
        <v>0</v>
      </c>
      <c r="P15" t="n">
        <v>0</v>
      </c>
      <c r="Q15" t="n">
        <v>6</v>
      </c>
      <c r="R15" t="n">
        <v>2</v>
      </c>
      <c r="S15" t="n">
        <v>11</v>
      </c>
      <c r="T15" t="n">
        <v>13</v>
      </c>
      <c r="U15" t="n">
        <v>12</v>
      </c>
      <c r="V15" s="2" t="inlineStr">
        <is>
          <t>Ask
Grov gulmossa
Backtimjan
Dvärgjordstjärna
Solvända
Ängsstarr
Murgröna
Alvarmalört
Grönvit nattviol
Krutbrännare
Gullviva</t>
        </is>
      </c>
      <c r="W15">
        <f>HYPERLINK("https://klasma.github.io/Logging_0840/artfynd/A 38039-2022 artfynd.xlsx", "A 38039-2022")</f>
        <v/>
      </c>
      <c r="X15">
        <f>HYPERLINK("https://klasma.github.io/Logging_0840/kartor/A 38039-2022 karta.png", "A 38039-2022")</f>
        <v/>
      </c>
      <c r="Y15">
        <f>HYPERLINK("https://klasma.github.io/Logging_0840/kartor_geotiff/A 38039-2022 georefererad karta.tif", "A 38039-2022")</f>
        <v/>
      </c>
      <c r="AA15">
        <f>HYPERLINK("https://klasma.github.io/Logging_0840/klagomål/A 38039-2022 FSC-klagomål.docx", "A 38039-2022")</f>
        <v/>
      </c>
      <c r="AB15">
        <f>HYPERLINK("https://klasma.github.io/Logging_0840/klagomålsmail/A 38039-2022 FSC-klagomål mail.docx", "A 38039-2022")</f>
        <v/>
      </c>
      <c r="AC15">
        <f>HYPERLINK("https://klasma.github.io/Logging_0840/tillsyn/A 38039-2022 tillsynsbegäran.docx", "A 38039-2022")</f>
        <v/>
      </c>
      <c r="AD15">
        <f>HYPERLINK("https://klasma.github.io/Logging_0840/tillsynsmail/A 38039-2022 tillsynsbegäran mail.docx", "A 38039-2022")</f>
        <v/>
      </c>
    </row>
    <row r="16" ht="15" customHeight="1">
      <c r="A16" t="inlineStr">
        <is>
          <t>A 27636-2023</t>
        </is>
      </c>
      <c r="B16" t="inlineStr">
        <is>
          <t>avverkningsanmälan</t>
        </is>
      </c>
      <c r="C16" t="inlineStr">
        <is>
          <t>Avverkning för annat ändamål</t>
        </is>
      </c>
      <c r="D16" s="1" t="n">
        <v>45097</v>
      </c>
      <c r="E16" s="1" t="n">
        <v>46311</v>
      </c>
      <c r="F16" t="inlineStr">
        <is>
          <t>KALMAR LÄN</t>
        </is>
      </c>
      <c r="G16" t="inlineStr">
        <is>
          <t>MÖRBYLÅNGA</t>
        </is>
      </c>
      <c r="I16" t="n">
        <v>7.4</v>
      </c>
      <c r="J16" t="n">
        <v>4</v>
      </c>
      <c r="K16" t="n">
        <v>1</v>
      </c>
      <c r="L16" t="n">
        <v>4</v>
      </c>
      <c r="M16" t="n">
        <v>1</v>
      </c>
      <c r="N16" t="n">
        <v>1</v>
      </c>
      <c r="O16" t="n">
        <v>0</v>
      </c>
      <c r="P16" t="n">
        <v>0</v>
      </c>
      <c r="Q16" t="n">
        <v>6</v>
      </c>
      <c r="R16" t="n">
        <v>2</v>
      </c>
      <c r="S16" t="n">
        <v>11</v>
      </c>
      <c r="T16" t="n">
        <v>13</v>
      </c>
      <c r="U16" t="n">
        <v>11</v>
      </c>
      <c r="V16" s="2" t="inlineStr">
        <is>
          <t>Ask
Grov gulmossa
Backtimjan
Dvärgjordstjärna
Solvända
Ängsstarr
Murgröna
Alvarmalört
Grönvit nattviol
Krutbrännare
Gullviva</t>
        </is>
      </c>
      <c r="W16">
        <f>HYPERLINK("https://klasma.github.io/Logging_0840/artfynd/A 27636-2023 artfynd.xlsx", "A 27636-2023")</f>
        <v/>
      </c>
      <c r="X16">
        <f>HYPERLINK("https://klasma.github.io/Logging_0840/kartor/A 27636-2023 karta.png", "A 27636-2023")</f>
        <v/>
      </c>
      <c r="Y16">
        <f>HYPERLINK("https://klasma.github.io/Logging_0840/kartor_geotiff/A 27636-2023 georefererad karta.tif", "A 27636-2023")</f>
        <v/>
      </c>
      <c r="AA16">
        <f>HYPERLINK("https://klasma.github.io/Logging_0840/klagomål/A 27636-2023 FSC-klagomål.docx", "A 27636-2023")</f>
        <v/>
      </c>
      <c r="AB16">
        <f>HYPERLINK("https://klasma.github.io/Logging_0840/klagomålsmail/A 27636-2023 FSC-klagomål mail.docx", "A 27636-2023")</f>
        <v/>
      </c>
      <c r="AC16">
        <f>HYPERLINK("https://klasma.github.io/Logging_0840/tillsyn/A 27636-2023 tillsynsbegäran.docx", "A 27636-2023")</f>
        <v/>
      </c>
      <c r="AD16">
        <f>HYPERLINK("https://klasma.github.io/Logging_0840/tillsynsmail/A 27636-2023 tillsynsbegäran mail.docx", "A 27636-2023")</f>
        <v/>
      </c>
    </row>
    <row r="17" ht="15" customHeight="1">
      <c r="A17" t="inlineStr">
        <is>
          <t>A 24778-2022</t>
        </is>
      </c>
      <c r="B17" t="inlineStr">
        <is>
          <t>avverkningsanmälan</t>
        </is>
      </c>
      <c r="C17" t="inlineStr">
        <is>
          <t>Föryngringsavverkning</t>
        </is>
      </c>
      <c r="D17" s="1" t="n">
        <v>44728</v>
      </c>
      <c r="E17" s="1" t="n">
        <v>46311</v>
      </c>
      <c r="F17" t="inlineStr">
        <is>
          <t>KALMAR LÄN</t>
        </is>
      </c>
      <c r="G17" t="inlineStr">
        <is>
          <t>MÖRBYLÅNGA</t>
        </is>
      </c>
      <c r="I17" t="n">
        <v>1</v>
      </c>
      <c r="J17" t="n">
        <v>1</v>
      </c>
      <c r="K17" t="n">
        <v>2</v>
      </c>
      <c r="L17" t="n">
        <v>7</v>
      </c>
      <c r="M17" t="n">
        <v>0</v>
      </c>
      <c r="N17" t="n">
        <v>1</v>
      </c>
      <c r="O17" t="n">
        <v>0</v>
      </c>
      <c r="P17" t="n">
        <v>0</v>
      </c>
      <c r="Q17" t="n">
        <v>8</v>
      </c>
      <c r="R17" t="n">
        <v>1</v>
      </c>
      <c r="S17" t="n">
        <v>11</v>
      </c>
      <c r="T17" t="n">
        <v>20</v>
      </c>
      <c r="U17" t="n">
        <v>20</v>
      </c>
      <c r="V17" s="2" t="inlineStr">
        <is>
          <t>Tofsäxing
Backtimjan
Flentimotej
Grådådra
Poppeltofsskivling
Slåtterfibbla
Sminkrot
Solvända
Kalktallört
Murgröna
Blåsippa</t>
        </is>
      </c>
      <c r="W17">
        <f>HYPERLINK("https://klasma.github.io/Logging_0840/artfynd/A 24778-2022 artfynd.xlsx", "A 24778-2022")</f>
        <v/>
      </c>
      <c r="X17">
        <f>HYPERLINK("https://klasma.github.io/Logging_0840/kartor/A 24778-2022 karta.png", "A 24778-2022")</f>
        <v/>
      </c>
      <c r="Y17">
        <f>HYPERLINK("https://klasma.github.io/Logging_0840/kartor_geotiff/A 24778-2022 georefererad karta.tif", "A 24778-2022")</f>
        <v/>
      </c>
      <c r="AA17">
        <f>HYPERLINK("https://klasma.github.io/Logging_0840/klagomål/A 24778-2022 FSC-klagomål.docx", "A 24778-2022")</f>
        <v/>
      </c>
      <c r="AB17">
        <f>HYPERLINK("https://klasma.github.io/Logging_0840/klagomålsmail/A 24778-2022 FSC-klagomål mail.docx", "A 24778-2022")</f>
        <v/>
      </c>
      <c r="AC17">
        <f>HYPERLINK("https://klasma.github.io/Logging_0840/tillsyn/A 24778-2022 tillsynsbegäran.docx", "A 24778-2022")</f>
        <v/>
      </c>
      <c r="AD17">
        <f>HYPERLINK("https://klasma.github.io/Logging_0840/tillsynsmail/A 24778-2022 tillsynsbegäran mail.docx", "A 24778-2022")</f>
        <v/>
      </c>
    </row>
    <row r="18" ht="15" customHeight="1">
      <c r="A18" t="inlineStr">
        <is>
          <t>A 60875-2025</t>
        </is>
      </c>
      <c r="B18" t="inlineStr">
        <is>
          <t>avverkningsanmälan</t>
        </is>
      </c>
      <c r="C18" t="inlineStr">
        <is>
          <t>Föryngringsavverkning</t>
        </is>
      </c>
      <c r="D18" s="1" t="n">
        <v>45999</v>
      </c>
      <c r="E18" s="1" t="n">
        <v>46311</v>
      </c>
      <c r="F18" t="inlineStr">
        <is>
          <t>KALMAR LÄN</t>
        </is>
      </c>
      <c r="G18" t="inlineStr">
        <is>
          <t>MÖRBYLÅNGA</t>
        </is>
      </c>
      <c r="I18" t="n">
        <v>2.1</v>
      </c>
      <c r="J18" t="n">
        <v>8</v>
      </c>
      <c r="K18" t="n">
        <v>1</v>
      </c>
      <c r="L18" t="n">
        <v>5</v>
      </c>
      <c r="M18" t="n">
        <v>0</v>
      </c>
      <c r="N18" t="n">
        <v>1</v>
      </c>
      <c r="O18" t="n">
        <v>1</v>
      </c>
      <c r="P18" t="n">
        <v>0</v>
      </c>
      <c r="Q18" t="n">
        <v>7</v>
      </c>
      <c r="R18" t="n">
        <v>2</v>
      </c>
      <c r="S18" t="n">
        <v>11</v>
      </c>
      <c r="T18" t="n">
        <v>12</v>
      </c>
      <c r="U18" t="n">
        <v>3</v>
      </c>
      <c r="V18" s="2" t="inlineStr">
        <is>
          <t>Järnek
Mosippa
Grönsångare
Gulsparv
Göktyta
Mindre hackspett
Svinrot
Murgröna
Spillkråka
Kråka
Skogsduva</t>
        </is>
      </c>
      <c r="W18">
        <f>HYPERLINK("https://klasma.github.io/Logging_0840/artfynd/A 60875-2025 artfynd.xlsx", "A 60875-2025")</f>
        <v/>
      </c>
      <c r="X18">
        <f>HYPERLINK("https://klasma.github.io/Logging_0840/kartor/A 60875-2025 karta.png", "A 60875-2025")</f>
        <v/>
      </c>
      <c r="Y18">
        <f>HYPERLINK("https://klasma.github.io/Logging_0840/kartor_geotiff/A 60875-2025 georefererad karta.tif", "A 60875-2025")</f>
        <v/>
      </c>
      <c r="AA18">
        <f>HYPERLINK("https://klasma.github.io/Logging_0840/klagomål/A 60875-2025 FSC-klagomål.docx", "A 60875-2025")</f>
        <v/>
      </c>
      <c r="AB18">
        <f>HYPERLINK("https://klasma.github.io/Logging_0840/klagomålsmail/A 60875-2025 FSC-klagomål mail.docx", "A 60875-2025")</f>
        <v/>
      </c>
      <c r="AC18">
        <f>HYPERLINK("https://klasma.github.io/Logging_0840/tillsyn/A 60875-2025 tillsynsbegäran.docx", "A 60875-2025")</f>
        <v/>
      </c>
      <c r="AD18">
        <f>HYPERLINK("https://klasma.github.io/Logging_0840/tillsynsmail/A 60875-2025 tillsynsbegäran mail.docx", "A 60875-2025")</f>
        <v/>
      </c>
      <c r="AE18">
        <f>HYPERLINK("https://klasma.github.io/Logging_0840/fåglar/A 60875-2025 prioriterade fågelarter.docx", "A 60875-2025")</f>
        <v/>
      </c>
    </row>
    <row r="19" ht="15" customHeight="1">
      <c r="A19" t="inlineStr">
        <is>
          <t>A 15600-2025</t>
        </is>
      </c>
      <c r="B19" t="inlineStr">
        <is>
          <t>avverkningsanmälan</t>
        </is>
      </c>
      <c r="C19" t="inlineStr">
        <is>
          <t>Avverkning för annat ändamål</t>
        </is>
      </c>
      <c r="D19" s="1" t="n">
        <v>45747</v>
      </c>
      <c r="E19" s="1" t="n">
        <v>46311</v>
      </c>
      <c r="F19" t="inlineStr">
        <is>
          <t>KALMAR LÄN</t>
        </is>
      </c>
      <c r="G19" t="inlineStr">
        <is>
          <t>MÖRBYLÅNGA</t>
        </is>
      </c>
      <c r="I19" t="n">
        <v>1.1</v>
      </c>
      <c r="J19" t="n">
        <v>3</v>
      </c>
      <c r="K19" t="n">
        <v>4</v>
      </c>
      <c r="L19" t="n">
        <v>0</v>
      </c>
      <c r="M19" t="n">
        <v>0</v>
      </c>
      <c r="N19" t="n">
        <v>1</v>
      </c>
      <c r="O19" t="n">
        <v>0</v>
      </c>
      <c r="P19" t="n">
        <v>0</v>
      </c>
      <c r="Q19" t="n">
        <v>1</v>
      </c>
      <c r="R19" t="n">
        <v>1</v>
      </c>
      <c r="S19" t="n">
        <v>10</v>
      </c>
      <c r="T19" t="n">
        <v>20</v>
      </c>
      <c r="U19" t="n">
        <v>18</v>
      </c>
      <c r="V19" s="2" t="inlineStr">
        <is>
          <t>Ask
Kragjordstjärna
Murgröna
Scharlakansvårskål agg.
Tibast
Blåsippa
Skärmstarr
Spillkråka
Storrams
Röd glada</t>
        </is>
      </c>
      <c r="W19">
        <f>HYPERLINK("https://klasma.github.io/Logging_0840/artfynd/A 15600-2025 artfynd.xlsx", "A 15600-2025")</f>
        <v/>
      </c>
      <c r="X19">
        <f>HYPERLINK("https://klasma.github.io/Logging_0840/kartor/A 15600-2025 karta.png", "A 15600-2025")</f>
        <v/>
      </c>
      <c r="Y19">
        <f>HYPERLINK("https://klasma.github.io/Logging_0840/kartor_geotiff/A 15600-2025 georefererad karta.tif", "A 15600-2025")</f>
        <v/>
      </c>
      <c r="AA19">
        <f>HYPERLINK("https://klasma.github.io/Logging_0840/klagomål/A 15600-2025 FSC-klagomål.docx", "A 15600-2025")</f>
        <v/>
      </c>
      <c r="AB19">
        <f>HYPERLINK("https://klasma.github.io/Logging_0840/klagomålsmail/A 15600-2025 FSC-klagomål mail.docx", "A 15600-2025")</f>
        <v/>
      </c>
      <c r="AC19">
        <f>HYPERLINK("https://klasma.github.io/Logging_0840/tillsyn/A 15600-2025 tillsynsbegäran.docx", "A 15600-2025")</f>
        <v/>
      </c>
      <c r="AD19">
        <f>HYPERLINK("https://klasma.github.io/Logging_0840/tillsynsmail/A 15600-2025 tillsynsbegäran mail.docx", "A 15600-2025")</f>
        <v/>
      </c>
      <c r="AE19">
        <f>HYPERLINK("https://klasma.github.io/Logging_0840/fåglar/A 15600-2025 prioriterade fågelarter.docx", "A 15600-2025")</f>
        <v/>
      </c>
    </row>
    <row r="20" ht="15" customHeight="1">
      <c r="A20" t="inlineStr">
        <is>
          <t>A 39320-2024</t>
        </is>
      </c>
      <c r="B20" t="inlineStr">
        <is>
          <t>avverkningsanmälan</t>
        </is>
      </c>
      <c r="C20" t="inlineStr">
        <is>
          <t>Avverkning för annat ändamål</t>
        </is>
      </c>
      <c r="D20" s="1" t="n">
        <v>45551</v>
      </c>
      <c r="E20" s="1" t="n">
        <v>46311</v>
      </c>
      <c r="F20" t="inlineStr">
        <is>
          <t>KALMAR LÄN</t>
        </is>
      </c>
      <c r="G20" t="inlineStr">
        <is>
          <t>MÖRBYLÅNGA</t>
        </is>
      </c>
      <c r="I20" t="n">
        <v>3.3</v>
      </c>
      <c r="J20" t="n">
        <v>1</v>
      </c>
      <c r="K20" t="n">
        <v>2</v>
      </c>
      <c r="L20" t="n">
        <v>4</v>
      </c>
      <c r="M20" t="n">
        <v>1</v>
      </c>
      <c r="N20" t="n">
        <v>1</v>
      </c>
      <c r="O20" t="n">
        <v>1</v>
      </c>
      <c r="P20" t="n">
        <v>0</v>
      </c>
      <c r="Q20" t="n">
        <v>7</v>
      </c>
      <c r="R20" t="n">
        <v>3</v>
      </c>
      <c r="S20" t="n">
        <v>10</v>
      </c>
      <c r="T20" t="n">
        <v>11</v>
      </c>
      <c r="U20" t="n">
        <v>10</v>
      </c>
      <c r="V20" s="2" t="inlineStr">
        <is>
          <t>Vresalm
Lundalm
Toppjungfrulin
Gulprickig vaxskivling
Korskovall
Sårläka
Vårärt
Strävlosta
Underviol
Skogsduva</t>
        </is>
      </c>
      <c r="W20">
        <f>HYPERLINK("https://klasma.github.io/Logging_0840/artfynd/A 39320-2024 artfynd.xlsx", "A 39320-2024")</f>
        <v/>
      </c>
      <c r="X20">
        <f>HYPERLINK("https://klasma.github.io/Logging_0840/kartor/A 39320-2024 karta.png", "A 39320-2024")</f>
        <v/>
      </c>
      <c r="Y20">
        <f>HYPERLINK("https://klasma.github.io/Logging_0840/kartor_geotiff/A 39320-2024 georefererad karta.tif", "A 39320-2024")</f>
        <v/>
      </c>
      <c r="AA20">
        <f>HYPERLINK("https://klasma.github.io/Logging_0840/klagomål/A 39320-2024 FSC-klagomål.docx", "A 39320-2024")</f>
        <v/>
      </c>
      <c r="AB20">
        <f>HYPERLINK("https://klasma.github.io/Logging_0840/klagomålsmail/A 39320-2024 FSC-klagomål mail.docx", "A 39320-2024")</f>
        <v/>
      </c>
      <c r="AC20">
        <f>HYPERLINK("https://klasma.github.io/Logging_0840/tillsyn/A 39320-2024 tillsynsbegäran.docx", "A 39320-2024")</f>
        <v/>
      </c>
      <c r="AD20">
        <f>HYPERLINK("https://klasma.github.io/Logging_0840/tillsynsmail/A 39320-2024 tillsynsbegäran mail.docx", "A 39320-2024")</f>
        <v/>
      </c>
    </row>
    <row r="21" ht="15" customHeight="1">
      <c r="A21" t="inlineStr">
        <is>
          <t>S 1122-2022</t>
        </is>
      </c>
      <c r="B21" t="inlineStr">
        <is>
          <t>samrådsanmälan</t>
        </is>
      </c>
      <c r="C21" t="inlineStr">
        <is>
          <t>Annan skogsbruksåtgärd</t>
        </is>
      </c>
      <c r="D21" s="1" t="n">
        <v>44616</v>
      </c>
      <c r="E21" s="1" t="n">
        <v>46311</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46311</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46311</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46311</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46311</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46311</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43714-2025</t>
        </is>
      </c>
      <c r="B27" t="inlineStr">
        <is>
          <t>avverkningsanmälan</t>
        </is>
      </c>
      <c r="C27" t="inlineStr">
        <is>
          <t>Föryngringsavverkning</t>
        </is>
      </c>
      <c r="D27" s="1" t="n">
        <v>45912</v>
      </c>
      <c r="E27" s="1" t="n">
        <v>46311</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A 43704-2025</t>
        </is>
      </c>
      <c r="B28" t="inlineStr">
        <is>
          <t>avverkningsanmälan</t>
        </is>
      </c>
      <c r="C28" t="inlineStr">
        <is>
          <t>Föryngringsavverkning</t>
        </is>
      </c>
      <c r="D28" s="1" t="n">
        <v>45912</v>
      </c>
      <c r="E28" s="1" t="n">
        <v>46311</v>
      </c>
      <c r="F28" t="inlineStr">
        <is>
          <t>KALMAR LÄN</t>
        </is>
      </c>
      <c r="G28" t="inlineStr">
        <is>
          <t>MÖRBYLÅNGA</t>
        </is>
      </c>
      <c r="I28" t="n">
        <v>2.7</v>
      </c>
      <c r="J28" t="n">
        <v>5</v>
      </c>
      <c r="K28" t="n">
        <v>1</v>
      </c>
      <c r="L28" t="n">
        <v>0</v>
      </c>
      <c r="M28" t="n">
        <v>0</v>
      </c>
      <c r="N28" t="n">
        <v>0</v>
      </c>
      <c r="O28" t="n">
        <v>0</v>
      </c>
      <c r="P28" t="n">
        <v>0</v>
      </c>
      <c r="Q28" t="n">
        <v>0</v>
      </c>
      <c r="R28" t="n">
        <v>0</v>
      </c>
      <c r="S28" t="n">
        <v>6</v>
      </c>
      <c r="T28" t="n">
        <v>6</v>
      </c>
      <c r="U28" t="n">
        <v>1</v>
      </c>
      <c r="V28" s="2" t="inlineStr">
        <is>
          <t>Blomkålssvamp
Långbensgroda
Större vattensalamander
Åkergroda
Mindre vattensalamander
Vanlig padda</t>
        </is>
      </c>
      <c r="W28">
        <f>HYPERLINK("https://klasma.github.io/Logging_0840/artfynd/A 43704-2025 artfynd.xlsx", "A 43704-2025")</f>
        <v/>
      </c>
      <c r="X28">
        <f>HYPERLINK("https://klasma.github.io/Logging_0840/kartor/A 43704-2025 karta.png", "A 43704-2025")</f>
        <v/>
      </c>
      <c r="Y28">
        <f>HYPERLINK("https://klasma.github.io/Logging_0840/kartor_geotiff/A 43704-2025 georefererad karta.tif", "A 43704-2025")</f>
        <v/>
      </c>
      <c r="AA28">
        <f>HYPERLINK("https://klasma.github.io/Logging_0840/klagomål/A 43704-2025 FSC-klagomål.docx", "A 43704-2025")</f>
        <v/>
      </c>
      <c r="AB28">
        <f>HYPERLINK("https://klasma.github.io/Logging_0840/klagomålsmail/A 43704-2025 FSC-klagomål mail.docx", "A 43704-2025")</f>
        <v/>
      </c>
      <c r="AC28">
        <f>HYPERLINK("https://klasma.github.io/Logging_0840/tillsyn/A 43704-2025 tillsynsbegäran.docx", "A 43704-2025")</f>
        <v/>
      </c>
      <c r="AD28">
        <f>HYPERLINK("https://klasma.github.io/Logging_0840/tillsynsmail/A 43704-2025 tillsynsbegäran mail.docx", "A 43704-2025")</f>
        <v/>
      </c>
    </row>
    <row r="29" ht="15" customHeight="1">
      <c r="A29" t="inlineStr">
        <is>
          <t>S 1814-2026</t>
        </is>
      </c>
      <c r="B29" t="inlineStr">
        <is>
          <t>samrådsanmälan</t>
        </is>
      </c>
      <c r="C29" t="inlineStr">
        <is>
          <t>Annan skogsbruksåtgärd</t>
        </is>
      </c>
      <c r="D29" s="1" t="n">
        <v>46190</v>
      </c>
      <c r="E29" s="1" t="n">
        <v>46311</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46311</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46311</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46311</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46311</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26440-2026</t>
        </is>
      </c>
      <c r="B34" t="inlineStr">
        <is>
          <t>avverkningsanmälan</t>
        </is>
      </c>
      <c r="C34" t="inlineStr">
        <is>
          <t>Avverkning för annat ändamål</t>
        </is>
      </c>
      <c r="D34" s="1" t="n">
        <v>46183</v>
      </c>
      <c r="E34" s="1" t="n">
        <v>46311</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34431-2026</t>
        </is>
      </c>
      <c r="B35" t="inlineStr">
        <is>
          <t>avverkningsanmälan</t>
        </is>
      </c>
      <c r="C35" t="inlineStr">
        <is>
          <t>Avverkning för annat ändamål</t>
        </is>
      </c>
      <c r="D35" s="1" t="n">
        <v>46254</v>
      </c>
      <c r="E35" s="1" t="n">
        <v>46311</v>
      </c>
      <c r="F35" t="inlineStr">
        <is>
          <t>KALMAR LÄN</t>
        </is>
      </c>
      <c r="G35" t="inlineStr">
        <is>
          <t>MÖRBYLÅNGA</t>
        </is>
      </c>
      <c r="I35" t="n">
        <v>8.300000000000001</v>
      </c>
      <c r="J35" t="n">
        <v>2</v>
      </c>
      <c r="K35" t="n">
        <v>1</v>
      </c>
      <c r="L35" t="n">
        <v>3</v>
      </c>
      <c r="M35" t="n">
        <v>0</v>
      </c>
      <c r="N35" t="n">
        <v>0</v>
      </c>
      <c r="O35" t="n">
        <v>0</v>
      </c>
      <c r="P35" t="n">
        <v>0</v>
      </c>
      <c r="Q35" t="n">
        <v>3</v>
      </c>
      <c r="R35" t="n">
        <v>0</v>
      </c>
      <c r="S35" t="n">
        <v>4</v>
      </c>
      <c r="T35" t="n">
        <v>5</v>
      </c>
      <c r="U35" t="n">
        <v>1</v>
      </c>
      <c r="V35" s="2" t="inlineStr">
        <is>
          <t>Entita
Mindre hackspett
Sandtimotej
Murgröna</t>
        </is>
      </c>
      <c r="W35">
        <f>HYPERLINK("https://klasma.github.io/Logging_0840/artfynd/A 34431-2026 artfynd.xlsx", "A 34431-2026")</f>
        <v/>
      </c>
      <c r="X35">
        <f>HYPERLINK("https://klasma.github.io/Logging_0840/kartor/A 34431-2026 karta.png", "A 34431-2026")</f>
        <v/>
      </c>
      <c r="Y35">
        <f>HYPERLINK("https://klasma.github.io/Logging_0840/kartor_geotiff/A 34431-2026 georefererad karta.tif", "A 34431-2026")</f>
        <v/>
      </c>
      <c r="AA35">
        <f>HYPERLINK("https://klasma.github.io/Logging_0840/klagomål/A 34431-2026 FSC-klagomål.docx", "A 34431-2026")</f>
        <v/>
      </c>
      <c r="AB35">
        <f>HYPERLINK("https://klasma.github.io/Logging_0840/klagomålsmail/A 34431-2026 FSC-klagomål mail.docx", "A 34431-2026")</f>
        <v/>
      </c>
      <c r="AC35">
        <f>HYPERLINK("https://klasma.github.io/Logging_0840/tillsyn/A 34431-2026 tillsynsbegäran.docx", "A 34431-2026")</f>
        <v/>
      </c>
      <c r="AD35">
        <f>HYPERLINK("https://klasma.github.io/Logging_0840/tillsynsmail/A 34431-2026 tillsynsbegäran mail.docx", "A 34431-2026")</f>
        <v/>
      </c>
      <c r="AE35">
        <f>HYPERLINK("https://klasma.github.io/Logging_0840/fåglar/A 34431-2026 prioriterade fågelarter.docx", "A 34431-2026")</f>
        <v/>
      </c>
    </row>
    <row r="36" ht="15" customHeight="1">
      <c r="A36" t="inlineStr">
        <is>
          <t>A 43702-2025</t>
        </is>
      </c>
      <c r="B36" t="inlineStr">
        <is>
          <t>avverkningsanmälan</t>
        </is>
      </c>
      <c r="C36" t="inlineStr">
        <is>
          <t>Föryngringsavverkning</t>
        </is>
      </c>
      <c r="D36" s="1" t="n">
        <v>45912</v>
      </c>
      <c r="E36" s="1" t="n">
        <v>46311</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46311</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72167-2021</t>
        </is>
      </c>
      <c r="B38" t="inlineStr">
        <is>
          <t>avverkningsanmälan</t>
        </is>
      </c>
      <c r="C38" t="inlineStr">
        <is>
          <t>Föryngringsavverkning</t>
        </is>
      </c>
      <c r="D38" s="1" t="n">
        <v>44544</v>
      </c>
      <c r="E38" s="1" t="n">
        <v>46311</v>
      </c>
      <c r="F38" t="inlineStr">
        <is>
          <t>KALMAR LÄN</t>
        </is>
      </c>
      <c r="G38" t="inlineStr">
        <is>
          <t>MÖRBYLÅNGA</t>
        </is>
      </c>
      <c r="I38" t="n">
        <v>3.5</v>
      </c>
      <c r="J38" t="n">
        <v>1</v>
      </c>
      <c r="K38" t="n">
        <v>1</v>
      </c>
      <c r="L38" t="n">
        <v>0</v>
      </c>
      <c r="M38" t="n">
        <v>0</v>
      </c>
      <c r="N38" t="n">
        <v>0</v>
      </c>
      <c r="O38" t="n">
        <v>0</v>
      </c>
      <c r="P38" t="n">
        <v>0</v>
      </c>
      <c r="Q38" t="n">
        <v>0</v>
      </c>
      <c r="R38" t="n">
        <v>0</v>
      </c>
      <c r="S38" t="n">
        <v>2</v>
      </c>
      <c r="T38" t="n">
        <v>2</v>
      </c>
      <c r="U38" t="n">
        <v>2</v>
      </c>
      <c r="V38" s="2" t="inlineStr">
        <is>
          <t>Murgröna
Röd glada</t>
        </is>
      </c>
      <c r="W38">
        <f>HYPERLINK("https://klasma.github.io/Logging_0840/artfynd/A 72167-2021 artfynd.xlsx", "A 72167-2021")</f>
        <v/>
      </c>
      <c r="X38">
        <f>HYPERLINK("https://klasma.github.io/Logging_0840/kartor/A 72167-2021 karta.png", "A 72167-2021")</f>
        <v/>
      </c>
      <c r="Y38">
        <f>HYPERLINK("https://klasma.github.io/Logging_0840/kartor_geotiff/A 72167-2021 georefererad karta.tif", "A 72167-2021")</f>
        <v/>
      </c>
      <c r="AA38">
        <f>HYPERLINK("https://klasma.github.io/Logging_0840/klagomål/A 72167-2021 FSC-klagomål.docx", "A 72167-2021")</f>
        <v/>
      </c>
      <c r="AB38">
        <f>HYPERLINK("https://klasma.github.io/Logging_0840/klagomålsmail/A 72167-2021 FSC-klagomål mail.docx", "A 72167-2021")</f>
        <v/>
      </c>
      <c r="AC38">
        <f>HYPERLINK("https://klasma.github.io/Logging_0840/tillsyn/A 72167-2021 tillsynsbegäran.docx", "A 72167-2021")</f>
        <v/>
      </c>
      <c r="AD38">
        <f>HYPERLINK("https://klasma.github.io/Logging_0840/tillsynsmail/A 72167-2021 tillsynsbegäran mail.docx", "A 72167-2021")</f>
        <v/>
      </c>
      <c r="AE38">
        <f>HYPERLINK("https://klasma.github.io/Logging_0840/fåglar/A 72167-2021 prioriterade fågelarter.docx", "A 72167-2021")</f>
        <v/>
      </c>
    </row>
    <row r="39" ht="15" customHeight="1">
      <c r="A39" t="inlineStr">
        <is>
          <t>A 62231-2023</t>
        </is>
      </c>
      <c r="B39" t="inlineStr">
        <is>
          <t>avverkningsanmälan</t>
        </is>
      </c>
      <c r="C39" t="inlineStr">
        <is>
          <t>Avverkning för annat ändamål</t>
        </is>
      </c>
      <c r="D39" s="1" t="n">
        <v>45267</v>
      </c>
      <c r="E39" s="1" t="n">
        <v>46311</v>
      </c>
      <c r="F39" t="inlineStr">
        <is>
          <t>KALMAR LÄN</t>
        </is>
      </c>
      <c r="G39" t="inlineStr">
        <is>
          <t>MÖRBYLÅNGA</t>
        </is>
      </c>
      <c r="I39" t="n">
        <v>1.6</v>
      </c>
      <c r="J39" t="n">
        <v>1</v>
      </c>
      <c r="K39" t="n">
        <v>1</v>
      </c>
      <c r="L39" t="n">
        <v>0</v>
      </c>
      <c r="M39" t="n">
        <v>0</v>
      </c>
      <c r="N39" t="n">
        <v>0</v>
      </c>
      <c r="O39" t="n">
        <v>0</v>
      </c>
      <c r="P39" t="n">
        <v>0</v>
      </c>
      <c r="Q39" t="n">
        <v>0</v>
      </c>
      <c r="R39" t="n">
        <v>0</v>
      </c>
      <c r="S39" t="n">
        <v>2</v>
      </c>
      <c r="T39" t="n">
        <v>2</v>
      </c>
      <c r="U39" t="n">
        <v>2</v>
      </c>
      <c r="V39" s="2" t="inlineStr">
        <is>
          <t>Murgröna
Blåsippa</t>
        </is>
      </c>
      <c r="W39">
        <f>HYPERLINK("https://klasma.github.io/Logging_0840/artfynd/A 62231-2023 artfynd.xlsx", "A 62231-2023")</f>
        <v/>
      </c>
      <c r="X39">
        <f>HYPERLINK("https://klasma.github.io/Logging_0840/kartor/A 62231-2023 karta.png", "A 62231-2023")</f>
        <v/>
      </c>
      <c r="Y39">
        <f>HYPERLINK("https://klasma.github.io/Logging_0840/kartor_geotiff/A 62231-2023 georefererad karta.tif", "A 62231-2023")</f>
        <v/>
      </c>
      <c r="AA39">
        <f>HYPERLINK("https://klasma.github.io/Logging_0840/klagomål/A 62231-2023 FSC-klagomål.docx", "A 62231-2023")</f>
        <v/>
      </c>
      <c r="AB39">
        <f>HYPERLINK("https://klasma.github.io/Logging_0840/klagomålsmail/A 62231-2023 FSC-klagomål mail.docx", "A 62231-2023")</f>
        <v/>
      </c>
      <c r="AC39">
        <f>HYPERLINK("https://klasma.github.io/Logging_0840/tillsyn/A 62231-2023 tillsynsbegäran.docx", "A 62231-2023")</f>
        <v/>
      </c>
      <c r="AD39">
        <f>HYPERLINK("https://klasma.github.io/Logging_0840/tillsynsmail/A 62231-2023 tillsynsbegäran mail.docx", "A 62231-2023")</f>
        <v/>
      </c>
    </row>
    <row r="40" ht="15" customHeight="1">
      <c r="A40" t="inlineStr">
        <is>
          <t>S 2138-2026</t>
        </is>
      </c>
      <c r="B40" t="inlineStr">
        <is>
          <t>samrådsanmälan</t>
        </is>
      </c>
      <c r="C40" t="inlineStr">
        <is>
          <t>Annan skogsbruksåtgärd</t>
        </is>
      </c>
      <c r="D40" s="1" t="n">
        <v>46246</v>
      </c>
      <c r="E40" s="1" t="n">
        <v>46311</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24698-2023</t>
        </is>
      </c>
      <c r="B41" t="inlineStr">
        <is>
          <t>avverkningsanmälan</t>
        </is>
      </c>
      <c r="C41" t="inlineStr">
        <is>
          <t>Föryngringsavverkning</t>
        </is>
      </c>
      <c r="D41" s="1" t="n">
        <v>45084</v>
      </c>
      <c r="E41" s="1" t="n">
        <v>46311</v>
      </c>
      <c r="F41" t="inlineStr">
        <is>
          <t>KALMAR LÄN</t>
        </is>
      </c>
      <c r="G41" t="inlineStr">
        <is>
          <t>MÖRBYLÅNGA</t>
        </is>
      </c>
      <c r="I41" t="n">
        <v>5.5</v>
      </c>
      <c r="J41" t="n">
        <v>0</v>
      </c>
      <c r="K41" t="n">
        <v>0</v>
      </c>
      <c r="L41" t="n">
        <v>1</v>
      </c>
      <c r="M41" t="n">
        <v>0</v>
      </c>
      <c r="N41" t="n">
        <v>0</v>
      </c>
      <c r="O41" t="n">
        <v>0</v>
      </c>
      <c r="P41" t="n">
        <v>0</v>
      </c>
      <c r="Q41" t="n">
        <v>1</v>
      </c>
      <c r="R41" t="n">
        <v>0</v>
      </c>
      <c r="S41" t="n">
        <v>1</v>
      </c>
      <c r="T41" t="n">
        <v>1</v>
      </c>
      <c r="U41" t="n">
        <v>1</v>
      </c>
      <c r="V41" s="2" t="inlineStr">
        <is>
          <t>Sårläka</t>
        </is>
      </c>
      <c r="W41">
        <f>HYPERLINK("https://klasma.github.io/Logging_0840/artfynd/A 24698-2023 artfynd.xlsx", "A 24698-2023")</f>
        <v/>
      </c>
      <c r="X41">
        <f>HYPERLINK("https://klasma.github.io/Logging_0840/kartor/A 24698-2023 karta.png", "A 24698-2023")</f>
        <v/>
      </c>
      <c r="Y41">
        <f>HYPERLINK("https://klasma.github.io/Logging_0840/kartor_geotiff/A 24698-2023 georefererad karta.tif", "A 24698-2023")</f>
        <v/>
      </c>
      <c r="AA41">
        <f>HYPERLINK("https://klasma.github.io/Logging_0840/klagomål/A 24698-2023 FSC-klagomål.docx", "A 24698-2023")</f>
        <v/>
      </c>
      <c r="AB41">
        <f>HYPERLINK("https://klasma.github.io/Logging_0840/klagomålsmail/A 24698-2023 FSC-klagomål mail.docx", "A 24698-2023")</f>
        <v/>
      </c>
      <c r="AC41">
        <f>HYPERLINK("https://klasma.github.io/Logging_0840/tillsyn/A 24698-2023 tillsynsbegäran.docx", "A 24698-2023")</f>
        <v/>
      </c>
      <c r="AD41">
        <f>HYPERLINK("https://klasma.github.io/Logging_0840/tillsynsmail/A 24698-2023 tillsynsbegäran mail.docx", "A 24698-2023")</f>
        <v/>
      </c>
    </row>
    <row r="42" ht="15" customHeight="1">
      <c r="A42" t="inlineStr">
        <is>
          <t>A 13040-2024</t>
        </is>
      </c>
      <c r="B42" t="inlineStr">
        <is>
          <t>avverkningsanmälan</t>
        </is>
      </c>
      <c r="C42" t="inlineStr">
        <is>
          <t>Avverkning för annat ändamål</t>
        </is>
      </c>
      <c r="D42" s="1" t="n">
        <v>45385</v>
      </c>
      <c r="E42" s="1" t="n">
        <v>46311</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13384-2023</t>
        </is>
      </c>
      <c r="B43" t="inlineStr">
        <is>
          <t>avverkningsanmälan</t>
        </is>
      </c>
      <c r="C43" t="inlineStr">
        <is>
          <t>Föryngringsavverkning</t>
        </is>
      </c>
      <c r="D43" s="1" t="n">
        <v>45005</v>
      </c>
      <c r="E43" s="1" t="n">
        <v>46311</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30492-2026</t>
        </is>
      </c>
      <c r="B44" t="inlineStr">
        <is>
          <t>avverkningsanmälan</t>
        </is>
      </c>
      <c r="C44" t="inlineStr">
        <is>
          <t>Avverkning för annat ändamål</t>
        </is>
      </c>
      <c r="D44" s="1" t="n">
        <v>46210</v>
      </c>
      <c r="E44" s="1" t="n">
        <v>46311</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36928-2026</t>
        </is>
      </c>
      <c r="B45" t="inlineStr">
        <is>
          <t>avverkningsanmälan</t>
        </is>
      </c>
      <c r="C45" t="inlineStr">
        <is>
          <t>Föryngringsavverkning</t>
        </is>
      </c>
      <c r="D45" s="1" t="n">
        <v>46273</v>
      </c>
      <c r="E45" s="1" t="n">
        <v>46311</v>
      </c>
      <c r="F45" t="inlineStr">
        <is>
          <t>KALMAR LÄN</t>
        </is>
      </c>
      <c r="G45" t="inlineStr">
        <is>
          <t>MÖRBYLÅNGA</t>
        </is>
      </c>
      <c r="I45" t="n">
        <v>1.3</v>
      </c>
      <c r="J45" t="n">
        <v>1</v>
      </c>
      <c r="K45" t="n">
        <v>1</v>
      </c>
      <c r="L45" t="n">
        <v>0</v>
      </c>
      <c r="M45" t="n">
        <v>0</v>
      </c>
      <c r="N45" t="n">
        <v>0</v>
      </c>
      <c r="O45" t="n">
        <v>0</v>
      </c>
      <c r="P45" t="n">
        <v>0</v>
      </c>
      <c r="Q45" t="n">
        <v>0</v>
      </c>
      <c r="R45" t="n">
        <v>0</v>
      </c>
      <c r="S45" t="n">
        <v>1</v>
      </c>
      <c r="T45" t="n">
        <v>1</v>
      </c>
      <c r="U45" t="n">
        <v>0</v>
      </c>
      <c r="V45" s="2" t="inlineStr">
        <is>
          <t>Tvåblad</t>
        </is>
      </c>
      <c r="W45">
        <f>HYPERLINK("https://klasma.github.io/Logging_0840/artfynd/A 36928-2026 artfynd.xlsx", "A 36928-2026")</f>
        <v/>
      </c>
      <c r="X45">
        <f>HYPERLINK("https://klasma.github.io/Logging_0840/kartor/A 36928-2026 karta.png", "A 36928-2026")</f>
        <v/>
      </c>
      <c r="Y45">
        <f>HYPERLINK("https://klasma.github.io/Logging_0840/kartor_geotiff/A 36928-2026 georefererad karta.tif", "A 36928-2026")</f>
        <v/>
      </c>
      <c r="AA45">
        <f>HYPERLINK("https://klasma.github.io/Logging_0840/klagomål/A 36928-2026 FSC-klagomål.docx", "A 36928-2026")</f>
        <v/>
      </c>
      <c r="AB45">
        <f>HYPERLINK("https://klasma.github.io/Logging_0840/klagomålsmail/A 36928-2026 FSC-klagomål mail.docx", "A 36928-2026")</f>
        <v/>
      </c>
      <c r="AC45">
        <f>HYPERLINK("https://klasma.github.io/Logging_0840/tillsyn/A 36928-2026 tillsynsbegäran.docx", "A 36928-2026")</f>
        <v/>
      </c>
      <c r="AD45">
        <f>HYPERLINK("https://klasma.github.io/Logging_0840/tillsynsmail/A 36928-2026 tillsynsbegäran mail.docx", "A 36928-2026")</f>
        <v/>
      </c>
    </row>
    <row r="46" ht="15" customHeight="1">
      <c r="A46" t="inlineStr">
        <is>
          <t>A 62183-2025</t>
        </is>
      </c>
      <c r="B46" t="inlineStr">
        <is>
          <t>avverkningsanmälan</t>
        </is>
      </c>
      <c r="C46" t="inlineStr">
        <is>
          <t>Föryngringsavverkning</t>
        </is>
      </c>
      <c r="D46" s="1" t="n">
        <v>46006</v>
      </c>
      <c r="E46" s="1" t="n">
        <v>46311</v>
      </c>
      <c r="F46" t="inlineStr">
        <is>
          <t>KALMAR LÄN</t>
        </is>
      </c>
      <c r="G46" t="inlineStr">
        <is>
          <t>MÖRBYLÅNGA</t>
        </is>
      </c>
      <c r="I46" t="n">
        <v>0.8</v>
      </c>
      <c r="J46" t="n">
        <v>0</v>
      </c>
      <c r="K46" t="n">
        <v>0</v>
      </c>
      <c r="L46" t="n">
        <v>1</v>
      </c>
      <c r="M46" t="n">
        <v>0</v>
      </c>
      <c r="N46" t="n">
        <v>0</v>
      </c>
      <c r="O46" t="n">
        <v>0</v>
      </c>
      <c r="P46" t="n">
        <v>0</v>
      </c>
      <c r="Q46" t="n">
        <v>1</v>
      </c>
      <c r="R46" t="n">
        <v>0</v>
      </c>
      <c r="S46" t="n">
        <v>1</v>
      </c>
      <c r="T46" t="n">
        <v>1</v>
      </c>
      <c r="U46" t="n">
        <v>0</v>
      </c>
      <c r="V46" s="2" t="inlineStr">
        <is>
          <t>Kösa</t>
        </is>
      </c>
      <c r="W46">
        <f>HYPERLINK("https://klasma.github.io/Logging_0840/artfynd/A 62183-2025 artfynd.xlsx", "A 62183-2025")</f>
        <v/>
      </c>
      <c r="X46">
        <f>HYPERLINK("https://klasma.github.io/Logging_0840/kartor/A 62183-2025 karta.png", "A 62183-2025")</f>
        <v/>
      </c>
      <c r="Y46">
        <f>HYPERLINK("https://klasma.github.io/Logging_0840/kartor_geotiff/A 62183-2025 georefererad karta.tif", "A 62183-2025")</f>
        <v/>
      </c>
      <c r="AA46">
        <f>HYPERLINK("https://klasma.github.io/Logging_0840/klagomål/A 62183-2025 FSC-klagomål.docx", "A 62183-2025")</f>
        <v/>
      </c>
      <c r="AB46">
        <f>HYPERLINK("https://klasma.github.io/Logging_0840/klagomålsmail/A 62183-2025 FSC-klagomål mail.docx", "A 62183-2025")</f>
        <v/>
      </c>
      <c r="AC46">
        <f>HYPERLINK("https://klasma.github.io/Logging_0840/tillsyn/A 62183-2025 tillsynsbegäran.docx", "A 62183-2025")</f>
        <v/>
      </c>
      <c r="AD46">
        <f>HYPERLINK("https://klasma.github.io/Logging_0840/tillsynsmail/A 62183-2025 tillsynsbegäran mail.docx", "A 62183-2025")</f>
        <v/>
      </c>
    </row>
    <row r="47" ht="15" customHeight="1">
      <c r="A47" t="inlineStr">
        <is>
          <t>A 26876-2022</t>
        </is>
      </c>
      <c r="B47" t="inlineStr">
        <is>
          <t>avverkningsanmälan</t>
        </is>
      </c>
      <c r="C47" t="inlineStr">
        <is>
          <t>Avverkning för annat ändamål</t>
        </is>
      </c>
      <c r="D47" s="1" t="n">
        <v>44740</v>
      </c>
      <c r="E47" s="1" t="n">
        <v>46311</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46311</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46311</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2026-10-16T02:18:01Z</dcterms:created>
  <dcterms:modified xmlns:dcterms="http://purl.org/dc/terms/" xmlns:xsi="http://www.w3.org/2001/XMLSchema-instance" xsi:type="dcterms:W3CDTF">2026-10-16T02:18:01Z</dcterms:modified>
</cp:coreProperties>
</file>