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461-2023</t>
        </is>
      </c>
      <c r="B2" t="inlineStr">
        <is>
          <t>samrådsanmälan</t>
        </is>
      </c>
      <c r="C2" t="inlineStr">
        <is>
          <t>Annan skogsbruksåtgärd</t>
        </is>
      </c>
      <c r="D2" s="1" t="n">
        <v>44964</v>
      </c>
      <c r="E2" s="1" t="n">
        <v>46310</v>
      </c>
      <c r="F2" t="inlineStr">
        <is>
          <t>KALMAR LÄN</t>
        </is>
      </c>
      <c r="G2" t="inlineStr">
        <is>
          <t>MÖRBYLÅNGA</t>
        </is>
      </c>
      <c r="H2" t="inlineStr">
        <is>
          <t>Kyrkan</t>
        </is>
      </c>
      <c r="I2" t="n">
        <v>7.4</v>
      </c>
      <c r="J2" t="n">
        <v>25</v>
      </c>
      <c r="K2" t="n">
        <v>12</v>
      </c>
      <c r="L2" t="n">
        <v>13</v>
      </c>
      <c r="M2" t="n">
        <v>3</v>
      </c>
      <c r="N2" t="n">
        <v>3</v>
      </c>
      <c r="O2" t="n">
        <v>1</v>
      </c>
      <c r="P2" t="n">
        <v>0</v>
      </c>
      <c r="Q2" t="n">
        <v>20</v>
      </c>
      <c r="R2" t="n">
        <v>7</v>
      </c>
      <c r="S2" t="n">
        <v>50</v>
      </c>
      <c r="T2" t="n">
        <v>73</v>
      </c>
      <c r="U2" t="n">
        <v>42</v>
      </c>
      <c r="V2" s="2" t="inlineStr">
        <is>
          <t>Järnek
Ask
Lundalm
Skogsalm
Skogsgås
Sommarsopp
Stare
Brunlångöra
Duvhök
Ekticka
Enbandad brunbagge
Etternässla
Gulsparv
Hemicoelus fulvicornis
Hålnunneört
Knottrig rottryffel
Nordfladdermus
Sydspärgel
Turkduva
Åkerranunkel
Droppklibbskivling
Ekoxe
Grå skärelav
Guldlockmossa
Gulfotshätta
Gulpudrad spiklav
Hässleklocka
Liten stinksvamp
Murgröna
Nästrot
Scharlakansskål
Tvåblad
Blåsippa
Gulsippa
Hässlebrodd
Vitsippa
Dvärgpipistrell
Halsbandsflugsnappare
Havsörn
Långbensgroda
Röd glada
Större brunfladdermus
Större vattensalamander
Sångsvan
Trana
Mindre vattensalamander
Vanlig padda
Vanlig snok
Sankt pers nycklar
Gullviva</t>
        </is>
      </c>
      <c r="W2">
        <f>HYPERLINK("https://klasma.github.io/Logging_0840/artfynd/S 461-2023 artfynd.xlsx", "S 461-2023")</f>
        <v/>
      </c>
      <c r="X2">
        <f>HYPERLINK("https://klasma.github.io/Logging_0840/kartor/S 461-2023 karta.png", "S 461-2023")</f>
        <v/>
      </c>
      <c r="Y2">
        <f>HYPERLINK("https://klasma.github.io/Logging_0840/kartor_geotiff/S 461-2023 georefererad karta.tif", "S 461-2023")</f>
        <v/>
      </c>
      <c r="AA2">
        <f>HYPERLINK("https://klasma.github.io/Logging_0840/klagomål/S 461-2023 FSC-klagomål.docx", "S 461-2023")</f>
        <v/>
      </c>
      <c r="AB2">
        <f>HYPERLINK("https://klasma.github.io/Logging_0840/klagomålsmail/S 461-2023 FSC-klagomål mail.docx", "S 461-2023")</f>
        <v/>
      </c>
      <c r="AC2">
        <f>HYPERLINK("https://klasma.github.io/Logging_0840/tillsyn/S 461-2023 tillsynsbegäran.docx", "S 461-2023")</f>
        <v/>
      </c>
      <c r="AD2">
        <f>HYPERLINK("https://klasma.github.io/Logging_0840/tillsynsmail/S 461-2023 tillsynsbegäran mail.docx", "S 461-2023")</f>
        <v/>
      </c>
      <c r="AE2">
        <f>HYPERLINK("https://klasma.github.io/Logging_0840/fåglar/S 461-2023 prioriterade fågelarter.docx", "S 461-2023")</f>
        <v/>
      </c>
    </row>
    <row r="3" ht="15" customHeight="1">
      <c r="A3" t="inlineStr">
        <is>
          <t>S 1761-2022</t>
        </is>
      </c>
      <c r="B3" t="inlineStr">
        <is>
          <t>samrådsanmälan</t>
        </is>
      </c>
      <c r="C3" t="inlineStr">
        <is>
          <t>Annan skogsbruksåtgärd</t>
        </is>
      </c>
      <c r="D3" s="1" t="n">
        <v>44655</v>
      </c>
      <c r="E3" s="1" t="n">
        <v>46310</v>
      </c>
      <c r="F3" t="inlineStr">
        <is>
          <t>KALMAR LÄN</t>
        </is>
      </c>
      <c r="G3" t="inlineStr">
        <is>
          <t>MÖRBYLÅNGA</t>
        </is>
      </c>
      <c r="I3" t="n">
        <v>6.3</v>
      </c>
      <c r="J3" t="n">
        <v>15</v>
      </c>
      <c r="K3" t="n">
        <v>5</v>
      </c>
      <c r="L3" t="n">
        <v>20</v>
      </c>
      <c r="M3" t="n">
        <v>9</v>
      </c>
      <c r="N3" t="n">
        <v>2</v>
      </c>
      <c r="O3" t="n">
        <v>0</v>
      </c>
      <c r="P3" t="n">
        <v>0</v>
      </c>
      <c r="Q3" t="n">
        <v>31</v>
      </c>
      <c r="R3" t="n">
        <v>11</v>
      </c>
      <c r="S3" t="n">
        <v>46</v>
      </c>
      <c r="T3" t="n">
        <v>61</v>
      </c>
      <c r="U3" t="n">
        <v>32</v>
      </c>
      <c r="V3" s="2" t="inlineStr">
        <is>
          <t>Lundalm
Lövkryddspindling
Bombarderbagge
Grov gulmossa
Lövstrimspindling
Mindre blåvinge
Olivfjällskivling
Praktspindling
Sexfläckig bastardsvärmare
Småvänderot
Svartfläckig blåvinge
Almsnabbvinge
Axveronika
Backklöver
Bolmört
Flikros
Gonia capitata
Gulsparv
Göktyta
Jordtistel
Kavelhirs
Korskovall
Mjölspindling
Myntaspetsvivel
Nötkråka
Silversmygare
Solvända
Stallört
Sårläka
Åkerkulla
Öländsk svävfluga
Dorcatoma dresdensis
Hasselticka
Myskmadra
Nästrot
Scharlakansskål
Citronfläckad kärrtrollslända
Långbensgroda
Större vattensalamander
Trädlärka
Ärtsångare
Åkergroda
Mindre vattensalamander
Vanlig padda
Grönvit nattviol
Johannesnycklar</t>
        </is>
      </c>
      <c r="W3">
        <f>HYPERLINK("https://klasma.github.io/Logging_0840/artfynd/S 1761-2022 artfynd.xlsx", "S 1761-2022")</f>
        <v/>
      </c>
      <c r="X3">
        <f>HYPERLINK("https://klasma.github.io/Logging_0840/kartor/S 1761-2022 karta.png", "S 1761-2022")</f>
        <v/>
      </c>
      <c r="Y3">
        <f>HYPERLINK("https://klasma.github.io/Logging_0840/kartor_geotiff/S 1761-2022 georefererad karta.tif", "S 1761-2022")</f>
        <v/>
      </c>
      <c r="AA3">
        <f>HYPERLINK("https://klasma.github.io/Logging_0840/klagomål/S 1761-2022 FSC-klagomål.docx", "S 1761-2022")</f>
        <v/>
      </c>
      <c r="AB3">
        <f>HYPERLINK("https://klasma.github.io/Logging_0840/klagomålsmail/S 1761-2022 FSC-klagomål mail.docx", "S 1761-2022")</f>
        <v/>
      </c>
      <c r="AC3">
        <f>HYPERLINK("https://klasma.github.io/Logging_0840/tillsyn/S 1761-2022 tillsynsbegäran.docx", "S 1761-2022")</f>
        <v/>
      </c>
      <c r="AD3">
        <f>HYPERLINK("https://klasma.github.io/Logging_0840/tillsynsmail/S 1761-2022 tillsynsbegäran mail.docx", "S 1761-2022")</f>
        <v/>
      </c>
      <c r="AE3">
        <f>HYPERLINK("https://klasma.github.io/Logging_0840/fåglar/S 1761-2022 prioriterade fågelarter.docx", "S 1761-2022")</f>
        <v/>
      </c>
    </row>
    <row r="4" ht="15" customHeight="1">
      <c r="A4" t="inlineStr">
        <is>
          <t>A 42099-2023</t>
        </is>
      </c>
      <c r="B4" t="inlineStr">
        <is>
          <t>avverkningsanmälan</t>
        </is>
      </c>
      <c r="C4" t="inlineStr">
        <is>
          <t>Föryngringsavverkning</t>
        </is>
      </c>
      <c r="D4" s="1" t="n">
        <v>45177</v>
      </c>
      <c r="E4" s="1" t="n">
        <v>46310</v>
      </c>
      <c r="F4" t="inlineStr">
        <is>
          <t>KALMAR LÄN</t>
        </is>
      </c>
      <c r="G4" t="inlineStr">
        <is>
          <t>MÖRBYLÅNGA</t>
        </is>
      </c>
      <c r="I4" t="n">
        <v>1.5</v>
      </c>
      <c r="J4" t="n">
        <v>4</v>
      </c>
      <c r="K4" t="n">
        <v>2</v>
      </c>
      <c r="L4" t="n">
        <v>29</v>
      </c>
      <c r="M4" t="n">
        <v>9</v>
      </c>
      <c r="N4" t="n">
        <v>4</v>
      </c>
      <c r="O4" t="n">
        <v>0</v>
      </c>
      <c r="P4" t="n">
        <v>0</v>
      </c>
      <c r="Q4" t="n">
        <v>42</v>
      </c>
      <c r="R4" t="n">
        <v>13</v>
      </c>
      <c r="S4" t="n">
        <v>45</v>
      </c>
      <c r="T4" t="n">
        <v>71</v>
      </c>
      <c r="U4" t="n">
        <v>36</v>
      </c>
      <c r="V4" s="2" t="inlineStr">
        <is>
          <t>Mörk stjälkröksvamp
Sandgeting
Smaragdgrön lundmätare
Tofsäxing
Backsippa
Gulbrunt nejlikfly
Naveljordstjärna
Ryl
Rödbandad fältmätare
Sandspolvivel
Streckhedspinnare
Större vitbandsvecklare
Villa longicornis
Axveronika
Backsilja
Backtimjan
Blyvivel
Brokigt timjansmott
Bågstreckad näbbmal
Dvärgjordstjärna
Flentimotej
Glimmalmätare
Kalkfly
Klocksäckspinnare
Längsbandad strimmätare
Mellanmätare
Mindre mårfältmätare
Mindre purpurmätare
Mosshumla
Månhornsbagge
Månlåsbräken
Månskärerotvecklare
Rosenfink
Rödlätt lövmätare
Sandtimotej
Skiktdynemott
Slåtterfibbla
Stäppröksvamp
Svartbrun klaffmätare
Väpplingblåvinge
Ängsnätfjäril
Öländsk svävfluga
Skogsknipprot
Toppvaxing
Havsörn</t>
        </is>
      </c>
      <c r="W4">
        <f>HYPERLINK("https://klasma.github.io/Logging_0840/artfynd/A 42099-2023 artfynd.xlsx", "A 42099-2023")</f>
        <v/>
      </c>
      <c r="X4">
        <f>HYPERLINK("https://klasma.github.io/Logging_0840/kartor/A 42099-2023 karta.png", "A 42099-2023")</f>
        <v/>
      </c>
      <c r="Y4">
        <f>HYPERLINK("https://klasma.github.io/Logging_0840/kartor_geotiff/A 42099-2023 georefererad karta.tif", "A 42099-2023")</f>
        <v/>
      </c>
      <c r="AA4">
        <f>HYPERLINK("https://klasma.github.io/Logging_0840/klagomål/A 42099-2023 FSC-klagomål.docx", "A 42099-2023")</f>
        <v/>
      </c>
      <c r="AB4">
        <f>HYPERLINK("https://klasma.github.io/Logging_0840/klagomålsmail/A 42099-2023 FSC-klagomål mail.docx", "A 42099-2023")</f>
        <v/>
      </c>
      <c r="AC4">
        <f>HYPERLINK("https://klasma.github.io/Logging_0840/tillsyn/A 42099-2023 tillsynsbegäran.docx", "A 42099-2023")</f>
        <v/>
      </c>
      <c r="AD4">
        <f>HYPERLINK("https://klasma.github.io/Logging_0840/tillsynsmail/A 42099-2023 tillsynsbegäran mail.docx", "A 42099-2023")</f>
        <v/>
      </c>
      <c r="AE4">
        <f>HYPERLINK("https://klasma.github.io/Logging_0840/fåglar/A 42099-2023 prioriterade fågelarter.docx", "A 42099-2023")</f>
        <v/>
      </c>
    </row>
    <row r="5" ht="15" customHeight="1">
      <c r="A5" t="inlineStr">
        <is>
          <t>S 2110-2023</t>
        </is>
      </c>
      <c r="B5" t="inlineStr">
        <is>
          <t>samrådsanmälan</t>
        </is>
      </c>
      <c r="C5" t="inlineStr">
        <is>
          <t>Annan skogsbruksåtgärd</t>
        </is>
      </c>
      <c r="D5" s="1" t="n">
        <v>45096</v>
      </c>
      <c r="E5" s="1" t="n">
        <v>46310</v>
      </c>
      <c r="F5" t="inlineStr">
        <is>
          <t>KALMAR LÄN</t>
        </is>
      </c>
      <c r="G5" t="inlineStr">
        <is>
          <t>MÖRBYLÅNGA</t>
        </is>
      </c>
      <c r="I5" t="n">
        <v>10.5</v>
      </c>
      <c r="J5" t="n">
        <v>9</v>
      </c>
      <c r="K5" t="n">
        <v>16</v>
      </c>
      <c r="L5" t="n">
        <v>11</v>
      </c>
      <c r="M5" t="n">
        <v>8</v>
      </c>
      <c r="N5" t="n">
        <v>3</v>
      </c>
      <c r="O5" t="n">
        <v>1</v>
      </c>
      <c r="P5" t="n">
        <v>0</v>
      </c>
      <c r="Q5" t="n">
        <v>23</v>
      </c>
      <c r="R5" t="n">
        <v>12</v>
      </c>
      <c r="S5" t="n">
        <v>45</v>
      </c>
      <c r="T5" t="n">
        <v>169</v>
      </c>
      <c r="U5" t="n">
        <v>150</v>
      </c>
      <c r="V5" s="2" t="inlineStr">
        <is>
          <t>Vresalm
Flikmurkla
Lundalm
Skorpplätt
Bananspindling
Elastisk spindling
Granatspindling
Grönkantad spindling
Luddfjällskivling
Lövklubbspindling
Praktspindling
Sockelspindling
Grisspindling
Grönsångare
Gulprickig vaxskivling
Juvelspindling
Kungsspindling
Mjölspindling
Olivbrun spindling
Oxtungssvamp
Svart askbastborre
Tusengömming
Vårärt
Ekoxe
Grov baronmossa
Guldlockmossa
Kragjordstjärna
Lönnlav
Murgröna
Narrtagging
Platt fjädermossa
Rostfläck
Rutbläcksvamp
Scharlakansvårskål agg.
Skogsknipprot
Strävlosta
Traslav
Trädporella
Underviol
Blåsippa
Spillkråka
Halsbandsflugsnappare
Fläcknycklar
Sankt pers nycklar
Gullviva</t>
        </is>
      </c>
      <c r="W5">
        <f>HYPERLINK("https://klasma.github.io/Logging_0840/artfynd/S 2110-2023 artfynd.xlsx", "S 2110-2023")</f>
        <v/>
      </c>
      <c r="X5">
        <f>HYPERLINK("https://klasma.github.io/Logging_0840/kartor/S 2110-2023 karta.png", "S 2110-2023")</f>
        <v/>
      </c>
      <c r="Y5">
        <f>HYPERLINK("https://klasma.github.io/Logging_0840/kartor_geotiff/S 2110-2023 georefererad karta.tif", "S 2110-2023")</f>
        <v/>
      </c>
      <c r="AA5">
        <f>HYPERLINK("https://klasma.github.io/Logging_0840/klagomål/S 2110-2023 FSC-klagomål.docx", "S 2110-2023")</f>
        <v/>
      </c>
      <c r="AB5">
        <f>HYPERLINK("https://klasma.github.io/Logging_0840/klagomålsmail/S 2110-2023 FSC-klagomål mail.docx", "S 2110-2023")</f>
        <v/>
      </c>
      <c r="AC5">
        <f>HYPERLINK("https://klasma.github.io/Logging_0840/tillsyn/S 2110-2023 tillsynsbegäran.docx", "S 2110-2023")</f>
        <v/>
      </c>
      <c r="AD5">
        <f>HYPERLINK("https://klasma.github.io/Logging_0840/tillsynsmail/S 2110-2023 tillsynsbegäran mail.docx", "S 2110-2023")</f>
        <v/>
      </c>
      <c r="AE5">
        <f>HYPERLINK("https://klasma.github.io/Logging_0840/fåglar/S 2110-2023 prioriterade fågelarter.docx", "S 2110-2023")</f>
        <v/>
      </c>
    </row>
    <row r="6" ht="15" customHeight="1">
      <c r="A6" t="inlineStr">
        <is>
          <t>A 4152-2025</t>
        </is>
      </c>
      <c r="B6" t="inlineStr">
        <is>
          <t>avverkningsanmälan</t>
        </is>
      </c>
      <c r="C6" t="inlineStr">
        <is>
          <t>Föryngringsavverkning</t>
        </is>
      </c>
      <c r="D6" s="1" t="n">
        <v>45685</v>
      </c>
      <c r="E6" s="1" t="n">
        <v>46310</v>
      </c>
      <c r="F6" t="inlineStr">
        <is>
          <t>KALMAR LÄN</t>
        </is>
      </c>
      <c r="G6" t="inlineStr">
        <is>
          <t>MÖRBYLÅNGA</t>
        </is>
      </c>
      <c r="I6" t="n">
        <v>7.3</v>
      </c>
      <c r="J6" t="n">
        <v>10</v>
      </c>
      <c r="K6" t="n">
        <v>7</v>
      </c>
      <c r="L6" t="n">
        <v>18</v>
      </c>
      <c r="M6" t="n">
        <v>3</v>
      </c>
      <c r="N6" t="n">
        <v>2</v>
      </c>
      <c r="O6" t="n">
        <v>1</v>
      </c>
      <c r="P6" t="n">
        <v>0</v>
      </c>
      <c r="Q6" t="n">
        <v>24</v>
      </c>
      <c r="R6" t="n">
        <v>6</v>
      </c>
      <c r="S6" t="n">
        <v>36</v>
      </c>
      <c r="T6" t="n">
        <v>186</v>
      </c>
      <c r="U6" t="n">
        <v>146</v>
      </c>
      <c r="V6" s="2" t="inlineStr">
        <is>
          <t>Naverlönn
Fjällig stjälkröksvamp
Tofsäxing
Knärot
Mindre bastardsvärmare
Ryl
Axveronika
Backtimjan
Dubbelbandat ljusmott
Flentimotej
Grådådra
Grönsångare
Heddyngbagge
Kalkfly
Kösa
Mellanmätare
Mjukdån
Poppeltofsskivling
Rödlätt lövmätare
Sikelsäckmal
Slåtterfibbla
Solvända
Svartbrun klaffmätare
Vägtornsmätare
Blomkålssvamp
Grönpyrola
Kalktallört
Murgröna
Skogsknipprot
Tvåblad
Vit skogslilja
Spillkråka
Gröngöling
Kungsfågel
Grönvit nattviol
Revlummer</t>
        </is>
      </c>
      <c r="W6">
        <f>HYPERLINK("https://klasma.github.io/Logging_0840/artfynd/A 4152-2025 artfynd.xlsx", "A 4152-2025")</f>
        <v/>
      </c>
      <c r="X6">
        <f>HYPERLINK("https://klasma.github.io/Logging_0840/kartor/A 4152-2025 karta.png", "A 4152-2025")</f>
        <v/>
      </c>
      <c r="Y6">
        <f>HYPERLINK("https://klasma.github.io/Logging_0840/kartor_geotiff/A 4152-2025 georefererad karta.tif", "A 4152-2025")</f>
        <v/>
      </c>
      <c r="Z6">
        <f>HYPERLINK("https://klasma.github.io/Logging_0840/knärot/A 4152-2025 karta knärot.png", "A 4152-2025")</f>
        <v/>
      </c>
      <c r="AA6">
        <f>HYPERLINK("https://klasma.github.io/Logging_0840/klagomål/A 4152-2025 FSC-klagomål.docx", "A 4152-2025")</f>
        <v/>
      </c>
      <c r="AB6">
        <f>HYPERLINK("https://klasma.github.io/Logging_0840/klagomålsmail/A 4152-2025 FSC-klagomål mail.docx", "A 4152-2025")</f>
        <v/>
      </c>
      <c r="AC6">
        <f>HYPERLINK("https://klasma.github.io/Logging_0840/tillsyn/A 4152-2025 tillsynsbegäran.docx", "A 4152-2025")</f>
        <v/>
      </c>
      <c r="AD6">
        <f>HYPERLINK("https://klasma.github.io/Logging_0840/tillsynsmail/A 4152-2025 tillsynsbegäran mail.docx", "A 4152-2025")</f>
        <v/>
      </c>
      <c r="AE6">
        <f>HYPERLINK("https://klasma.github.io/Logging_0840/fåglar/A 4152-2025 prioriterade fågelarter.docx", "A 4152-2025")</f>
        <v/>
      </c>
    </row>
    <row r="7" ht="15" customHeight="1">
      <c r="A7" t="inlineStr">
        <is>
          <t>A 39627-2026</t>
        </is>
      </c>
      <c r="B7" t="inlineStr">
        <is>
          <t>avverkningsanmälan</t>
        </is>
      </c>
      <c r="C7" t="inlineStr">
        <is>
          <t>Föryngringsavverkning</t>
        </is>
      </c>
      <c r="D7" s="1" t="n">
        <v>46289</v>
      </c>
      <c r="E7" s="1" t="n">
        <v>46310</v>
      </c>
      <c r="F7" t="inlineStr">
        <is>
          <t>KALMAR LÄN</t>
        </is>
      </c>
      <c r="G7" t="inlineStr">
        <is>
          <t>MÖRBYLÅNGA</t>
        </is>
      </c>
      <c r="I7" t="n">
        <v>7</v>
      </c>
      <c r="J7" t="n">
        <v>14</v>
      </c>
      <c r="K7" t="n">
        <v>4</v>
      </c>
      <c r="L7" t="n">
        <v>12</v>
      </c>
      <c r="M7" t="n">
        <v>1</v>
      </c>
      <c r="N7" t="n">
        <v>3</v>
      </c>
      <c r="O7" t="n">
        <v>0</v>
      </c>
      <c r="P7" t="n">
        <v>0</v>
      </c>
      <c r="Q7" t="n">
        <v>16</v>
      </c>
      <c r="R7" t="n">
        <v>4</v>
      </c>
      <c r="S7" t="n">
        <v>31</v>
      </c>
      <c r="T7" t="n">
        <v>50</v>
      </c>
      <c r="U7" t="n">
        <v>0</v>
      </c>
      <c r="V7" s="2" t="inlineStr">
        <is>
          <t>Ask
Lundalm
Skogsalm
Toppjungfrulin
Axveronika
Backklöver
Backtimjan
Flentimotej
Göktyta
Jordtistel
Jungfrulin
Korskovall
Solvända
Sädesärla
Sårläka
Vårstarr
Ekoxe
Murgröna
Skogsknipprot
Strävlosta
Blåsippa
Skogsbingel
Halsbandsflugsnappare
Röd glada
Huggorm
Skogsödla
Vanlig padda
Vanlig snok
Johannesnycklar
Sankt pers nycklar
Gullviva</t>
        </is>
      </c>
      <c r="W7">
        <f>HYPERLINK("https://klasma.github.io/Logging_0840/artfynd/A 39627-2026 artfynd.xlsx", "A 39627-2026")</f>
        <v/>
      </c>
      <c r="X7">
        <f>HYPERLINK("https://klasma.github.io/Logging_0840/kartor/A 39627-2026 karta.png", "A 39627-2026")</f>
        <v/>
      </c>
      <c r="Y7">
        <f>HYPERLINK("https://klasma.github.io/Logging_0840/kartor_geotiff/A 39627-2026 georefererad karta.tif", "A 39627-2026")</f>
        <v/>
      </c>
      <c r="AA7">
        <f>HYPERLINK("https://klasma.github.io/Logging_0840/klagomål/A 39627-2026 FSC-klagomål.docx", "A 39627-2026")</f>
        <v/>
      </c>
      <c r="AB7">
        <f>HYPERLINK("https://klasma.github.io/Logging_0840/klagomålsmail/A 39627-2026 FSC-klagomål mail.docx", "A 39627-2026")</f>
        <v/>
      </c>
      <c r="AC7">
        <f>HYPERLINK("https://klasma.github.io/Logging_0840/tillsyn/A 39627-2026 tillsynsbegäran.docx", "A 39627-2026")</f>
        <v/>
      </c>
      <c r="AD7">
        <f>HYPERLINK("https://klasma.github.io/Logging_0840/tillsynsmail/A 39627-2026 tillsynsbegäran mail.docx", "A 39627-2026")</f>
        <v/>
      </c>
      <c r="AE7">
        <f>HYPERLINK("https://klasma.github.io/Logging_0840/fåglar/A 39627-2026 prioriterade fågelarter.docx", "A 39627-2026")</f>
        <v/>
      </c>
    </row>
    <row r="8" ht="15" customHeight="1">
      <c r="A8" t="inlineStr">
        <is>
          <t>A 27865-2024</t>
        </is>
      </c>
      <c r="B8" t="inlineStr">
        <is>
          <t>avverkningsanmälan</t>
        </is>
      </c>
      <c r="C8" t="inlineStr">
        <is>
          <t>Föryngringsavverkning</t>
        </is>
      </c>
      <c r="D8" s="1" t="n">
        <v>45475</v>
      </c>
      <c r="E8" s="1" t="n">
        <v>46310</v>
      </c>
      <c r="F8" t="inlineStr">
        <is>
          <t>KALMAR LÄN</t>
        </is>
      </c>
      <c r="G8" t="inlineStr">
        <is>
          <t>MÖRBYLÅNGA</t>
        </is>
      </c>
      <c r="I8" t="n">
        <v>0.7</v>
      </c>
      <c r="J8" t="n">
        <v>8</v>
      </c>
      <c r="K8" t="n">
        <v>7</v>
      </c>
      <c r="L8" t="n">
        <v>10</v>
      </c>
      <c r="M8" t="n">
        <v>0</v>
      </c>
      <c r="N8" t="n">
        <v>0</v>
      </c>
      <c r="O8" t="n">
        <v>0</v>
      </c>
      <c r="P8" t="n">
        <v>0</v>
      </c>
      <c r="Q8" t="n">
        <v>10</v>
      </c>
      <c r="R8" t="n">
        <v>0</v>
      </c>
      <c r="S8" t="n">
        <v>21</v>
      </c>
      <c r="T8" t="n">
        <v>43</v>
      </c>
      <c r="U8" t="n">
        <v>34</v>
      </c>
      <c r="V8" s="2" t="inlineStr">
        <is>
          <t>Bergjohannesört
Blå slemspindling
Fjällig taggsvamp s.str.
Grönsångare
Klasefibbla
Krusfrö
Solvända
Vippärt
Väpplingblåvinge
Ängsskära
Diskvaxskivling
Murgröna
Nästrot
Skogsknipprot
Strävlosta
Tvåblad
Underviol
Blåsippa
Kungsfågel
Bredarun
Grönvit nattviol</t>
        </is>
      </c>
      <c r="W8">
        <f>HYPERLINK("https://klasma.github.io/Logging_0840/artfynd/A 27865-2024 artfynd.xlsx", "A 27865-2024")</f>
        <v/>
      </c>
      <c r="X8">
        <f>HYPERLINK("https://klasma.github.io/Logging_0840/kartor/A 27865-2024 karta.png", "A 27865-2024")</f>
        <v/>
      </c>
      <c r="Y8">
        <f>HYPERLINK("https://klasma.github.io/Logging_0840/kartor_geotiff/A 27865-2024 georefererad karta.tif", "A 27865-2024")</f>
        <v/>
      </c>
      <c r="AA8">
        <f>HYPERLINK("https://klasma.github.io/Logging_0840/klagomål/A 27865-2024 FSC-klagomål.docx", "A 27865-2024")</f>
        <v/>
      </c>
      <c r="AB8">
        <f>HYPERLINK("https://klasma.github.io/Logging_0840/klagomålsmail/A 27865-2024 FSC-klagomål mail.docx", "A 27865-2024")</f>
        <v/>
      </c>
      <c r="AC8">
        <f>HYPERLINK("https://klasma.github.io/Logging_0840/tillsyn/A 27865-2024 tillsynsbegäran.docx", "A 27865-2024")</f>
        <v/>
      </c>
      <c r="AD8">
        <f>HYPERLINK("https://klasma.github.io/Logging_0840/tillsynsmail/A 27865-2024 tillsynsbegäran mail.docx", "A 27865-2024")</f>
        <v/>
      </c>
      <c r="AE8">
        <f>HYPERLINK("https://klasma.github.io/Logging_0840/fåglar/A 27865-2024 prioriterade fågelarter.docx", "A 27865-2024")</f>
        <v/>
      </c>
    </row>
    <row r="9" ht="15" customHeight="1">
      <c r="A9" t="inlineStr">
        <is>
          <t>A 21219-2023</t>
        </is>
      </c>
      <c r="B9" t="inlineStr">
        <is>
          <t>avverkningsanmälan</t>
        </is>
      </c>
      <c r="C9" t="inlineStr">
        <is>
          <t>Föryngringsavverkning</t>
        </is>
      </c>
      <c r="D9" s="1" t="n">
        <v>45062</v>
      </c>
      <c r="E9" s="1" t="n">
        <v>46310</v>
      </c>
      <c r="F9" t="inlineStr">
        <is>
          <t>KALMAR LÄN</t>
        </is>
      </c>
      <c r="G9" t="inlineStr">
        <is>
          <t>MÖRBYLÅNGA</t>
        </is>
      </c>
      <c r="I9" t="n">
        <v>2.6</v>
      </c>
      <c r="J9" t="n">
        <v>7</v>
      </c>
      <c r="K9" t="n">
        <v>10</v>
      </c>
      <c r="L9" t="n">
        <v>5</v>
      </c>
      <c r="M9" t="n">
        <v>1</v>
      </c>
      <c r="N9" t="n">
        <v>1</v>
      </c>
      <c r="O9" t="n">
        <v>0</v>
      </c>
      <c r="P9" t="n">
        <v>0</v>
      </c>
      <c r="Q9" t="n">
        <v>7</v>
      </c>
      <c r="R9" t="n">
        <v>2</v>
      </c>
      <c r="S9" t="n">
        <v>20</v>
      </c>
      <c r="T9" t="n">
        <v>94</v>
      </c>
      <c r="U9" t="n">
        <v>94</v>
      </c>
      <c r="V9" s="2" t="inlineStr">
        <is>
          <t>Ask
Mindre bastardsvärmare
Fläckig saffransspindling
Munkspindling
Olivbrun spindling
Svartbrun klaffmätare
Sårläka
Grov baronmossa
Murgröna
Nästrot
Platt fjädermossa
Purpurknipprot
Skogsknipprot
Strimspindling
Traslav
Tvåblad
Underviol
Blåsippa
Fläcknycklar
Gullviva</t>
        </is>
      </c>
      <c r="W9">
        <f>HYPERLINK("https://klasma.github.io/Logging_0840/artfynd/A 21219-2023 artfynd.xlsx", "A 21219-2023")</f>
        <v/>
      </c>
      <c r="X9">
        <f>HYPERLINK("https://klasma.github.io/Logging_0840/kartor/A 21219-2023 karta.png", "A 21219-2023")</f>
        <v/>
      </c>
      <c r="Y9">
        <f>HYPERLINK("https://klasma.github.io/Logging_0840/kartor_geotiff/A 21219-2023 georefererad karta.tif", "A 21219-2023")</f>
        <v/>
      </c>
      <c r="AA9">
        <f>HYPERLINK("https://klasma.github.io/Logging_0840/klagomål/A 21219-2023 FSC-klagomål.docx", "A 21219-2023")</f>
        <v/>
      </c>
      <c r="AB9">
        <f>HYPERLINK("https://klasma.github.io/Logging_0840/klagomålsmail/A 21219-2023 FSC-klagomål mail.docx", "A 21219-2023")</f>
        <v/>
      </c>
      <c r="AC9">
        <f>HYPERLINK("https://klasma.github.io/Logging_0840/tillsyn/A 21219-2023 tillsynsbegäran.docx", "A 21219-2023")</f>
        <v/>
      </c>
      <c r="AD9">
        <f>HYPERLINK("https://klasma.github.io/Logging_0840/tillsynsmail/A 21219-2023 tillsynsbegäran mail.docx", "A 21219-2023")</f>
        <v/>
      </c>
    </row>
    <row r="10" ht="15" customHeight="1">
      <c r="A10" t="inlineStr">
        <is>
          <t>A 28146-2026</t>
        </is>
      </c>
      <c r="B10" t="inlineStr">
        <is>
          <t>avverkningsanmälan</t>
        </is>
      </c>
      <c r="C10" t="inlineStr">
        <is>
          <t>Avverkning för annat ändamål</t>
        </is>
      </c>
      <c r="D10" s="1" t="n">
        <v>46195</v>
      </c>
      <c r="E10" s="1" t="n">
        <v>46310</v>
      </c>
      <c r="F10" t="inlineStr">
        <is>
          <t>KALMAR LÄN</t>
        </is>
      </c>
      <c r="G10" t="inlineStr">
        <is>
          <t>MÖRBYLÅNGA</t>
        </is>
      </c>
      <c r="I10" t="n">
        <v>8.4</v>
      </c>
      <c r="J10" t="n">
        <v>8</v>
      </c>
      <c r="K10" t="n">
        <v>2</v>
      </c>
      <c r="L10" t="n">
        <v>10</v>
      </c>
      <c r="M10" t="n">
        <v>0</v>
      </c>
      <c r="N10" t="n">
        <v>0</v>
      </c>
      <c r="O10" t="n">
        <v>0</v>
      </c>
      <c r="P10" t="n">
        <v>0</v>
      </c>
      <c r="Q10" t="n">
        <v>10</v>
      </c>
      <c r="R10" t="n">
        <v>0</v>
      </c>
      <c r="S10" t="n">
        <v>19</v>
      </c>
      <c r="T10" t="n">
        <v>20</v>
      </c>
      <c r="U10" t="n">
        <v>0</v>
      </c>
      <c r="V10" s="2" t="inlineStr">
        <is>
          <t>Askpraktbagge
Hasselpraktbagge
Hemicoelus fulvicornis
Jordtistel
Klasefibbla
Korskovall
Malthinus facialis
Skulderfläckad gaddbagge
Svinrot
Ängsstarr
Flugblomster
Platt fjädermossa
Blåsippa
Brudsporre
Fläcknycklar
Johannesnycklar
Kärrknipprot
Nattviol
Vanliga ängsnycklar</t>
        </is>
      </c>
      <c r="W10">
        <f>HYPERLINK("https://klasma.github.io/Logging_0840/artfynd/A 28146-2026 artfynd.xlsx", "A 28146-2026")</f>
        <v/>
      </c>
      <c r="X10">
        <f>HYPERLINK("https://klasma.github.io/Logging_0840/kartor/A 28146-2026 karta.png", "A 28146-2026")</f>
        <v/>
      </c>
      <c r="Y10">
        <f>HYPERLINK("https://klasma.github.io/Logging_0840/kartor_geotiff/A 28146-2026 georefererad karta.tif", "A 28146-2026")</f>
        <v/>
      </c>
      <c r="AA10">
        <f>HYPERLINK("https://klasma.github.io/Logging_0840/klagomål/A 28146-2026 FSC-klagomål.docx", "A 28146-2026")</f>
        <v/>
      </c>
      <c r="AB10">
        <f>HYPERLINK("https://klasma.github.io/Logging_0840/klagomålsmail/A 28146-2026 FSC-klagomål mail.docx", "A 28146-2026")</f>
        <v/>
      </c>
      <c r="AC10">
        <f>HYPERLINK("https://klasma.github.io/Logging_0840/tillsyn/A 28146-2026 tillsynsbegäran.docx", "A 28146-2026")</f>
        <v/>
      </c>
      <c r="AD10">
        <f>HYPERLINK("https://klasma.github.io/Logging_0840/tillsynsmail/A 28146-2026 tillsynsbegäran mail.docx", "A 28146-2026")</f>
        <v/>
      </c>
    </row>
    <row r="11" ht="15" customHeight="1">
      <c r="A11" t="inlineStr">
        <is>
          <t>S 1766-2026</t>
        </is>
      </c>
      <c r="B11" t="inlineStr">
        <is>
          <t>samrådsanmälan</t>
        </is>
      </c>
      <c r="C11" t="inlineStr">
        <is>
          <t>Annan skogsbruksåtgärd</t>
        </is>
      </c>
      <c r="D11" s="1" t="n">
        <v>46189</v>
      </c>
      <c r="E11" s="1" t="n">
        <v>46310</v>
      </c>
      <c r="F11" t="inlineStr">
        <is>
          <t>KALMAR LÄN</t>
        </is>
      </c>
      <c r="G11" t="inlineStr">
        <is>
          <t>MÖRBYLÅNGA</t>
        </is>
      </c>
      <c r="I11" t="n">
        <v>4.1</v>
      </c>
      <c r="J11" t="n">
        <v>1</v>
      </c>
      <c r="K11" t="n">
        <v>4</v>
      </c>
      <c r="L11" t="n">
        <v>6</v>
      </c>
      <c r="M11" t="n">
        <v>3</v>
      </c>
      <c r="N11" t="n">
        <v>5</v>
      </c>
      <c r="O11" t="n">
        <v>0</v>
      </c>
      <c r="P11" t="n">
        <v>0</v>
      </c>
      <c r="Q11" t="n">
        <v>14</v>
      </c>
      <c r="R11" t="n">
        <v>8</v>
      </c>
      <c r="S11" t="n">
        <v>19</v>
      </c>
      <c r="T11" t="n">
        <v>23</v>
      </c>
      <c r="U11" t="n">
        <v>0</v>
      </c>
      <c r="V11" s="2" t="inlineStr">
        <is>
          <t>Ask
Fyllitspindling
Lundalm
Skogsalm
Sötdoftande spindling
Elastisk spindling
Frostspindling
Karamellspindling
Grisspindling
Munkspindling
Pilfotsspindling
Slottsspindling
Vippärt
Vårärt
Lindspindling
Murgröna
Strävlosta
Underviol
Blåsippa</t>
        </is>
      </c>
      <c r="W11">
        <f>HYPERLINK("https://klasma.github.io/Logging_0840/artfynd/S 1766-2026 artfynd.xlsx", "S 1766-2026")</f>
        <v/>
      </c>
      <c r="X11">
        <f>HYPERLINK("https://klasma.github.io/Logging_0840/kartor/S 1766-2026 karta.png", "S 1766-2026")</f>
        <v/>
      </c>
      <c r="Y11">
        <f>HYPERLINK("https://klasma.github.io/Logging_0840/kartor_geotiff/S 1766-2026 georefererad karta.tif", "S 1766-2026")</f>
        <v/>
      </c>
      <c r="AA11">
        <f>HYPERLINK("https://klasma.github.io/Logging_0840/klagomål/S 1766-2026 FSC-klagomål.docx", "S 1766-2026")</f>
        <v/>
      </c>
      <c r="AB11">
        <f>HYPERLINK("https://klasma.github.io/Logging_0840/klagomålsmail/S 1766-2026 FSC-klagomål mail.docx", "S 1766-2026")</f>
        <v/>
      </c>
      <c r="AC11">
        <f>HYPERLINK("https://klasma.github.io/Logging_0840/tillsyn/S 1766-2026 tillsynsbegäran.docx", "S 1766-2026")</f>
        <v/>
      </c>
      <c r="AD11">
        <f>HYPERLINK("https://klasma.github.io/Logging_0840/tillsynsmail/S 1766-2026 tillsynsbegäran mail.docx", "S 1766-2026")</f>
        <v/>
      </c>
    </row>
    <row r="12" ht="15" customHeight="1">
      <c r="A12" t="inlineStr">
        <is>
          <t>A 59540-2023</t>
        </is>
      </c>
      <c r="B12" t="inlineStr">
        <is>
          <t>avverkningsanmälan</t>
        </is>
      </c>
      <c r="C12" t="inlineStr">
        <is>
          <t>Avverkning för annat ändamål</t>
        </is>
      </c>
      <c r="D12" s="1" t="n">
        <v>45254</v>
      </c>
      <c r="E12" s="1" t="n">
        <v>46310</v>
      </c>
      <c r="F12" t="inlineStr">
        <is>
          <t>KALMAR LÄN</t>
        </is>
      </c>
      <c r="G12" t="inlineStr">
        <is>
          <t>MÖRBYLÅNGA</t>
        </is>
      </c>
      <c r="I12" t="n">
        <v>2.8</v>
      </c>
      <c r="J12" t="n">
        <v>16</v>
      </c>
      <c r="K12" t="n">
        <v>0</v>
      </c>
      <c r="L12" t="n">
        <v>6</v>
      </c>
      <c r="M12" t="n">
        <v>2</v>
      </c>
      <c r="N12" t="n">
        <v>0</v>
      </c>
      <c r="O12" t="n">
        <v>0</v>
      </c>
      <c r="P12" t="n">
        <v>0</v>
      </c>
      <c r="Q12" t="n">
        <v>8</v>
      </c>
      <c r="R12" t="n">
        <v>2</v>
      </c>
      <c r="S12" t="n">
        <v>16</v>
      </c>
      <c r="T12" t="n">
        <v>16</v>
      </c>
      <c r="U12" t="n">
        <v>0</v>
      </c>
      <c r="V12" s="2" t="inlineStr">
        <is>
          <t>Grönfink
Tornseglare
Björktrast
Grönsångare
Göktyta
Järnsparv
Rödvingetrast
Sädesärla
Nattskärra
Spillkråka
Gröngöling
Grönsiska
Kungsfågel
Svartvit flugsnappare
Trädlärka
Ärtsångare</t>
        </is>
      </c>
      <c r="W12">
        <f>HYPERLINK("https://klasma.github.io/Logging_0840/artfynd/A 59540-2023 artfynd.xlsx", "A 59540-2023")</f>
        <v/>
      </c>
      <c r="X12">
        <f>HYPERLINK("https://klasma.github.io/Logging_0840/kartor/A 59540-2023 karta.png", "A 59540-2023")</f>
        <v/>
      </c>
      <c r="Y12">
        <f>HYPERLINK("https://klasma.github.io/Logging_0840/kartor_geotiff/A 59540-2023 georefererad karta.tif", "A 59540-2023")</f>
        <v/>
      </c>
      <c r="AA12">
        <f>HYPERLINK("https://klasma.github.io/Logging_0840/klagomål/A 59540-2023 FSC-klagomål.docx", "A 59540-2023")</f>
        <v/>
      </c>
      <c r="AB12">
        <f>HYPERLINK("https://klasma.github.io/Logging_0840/klagomålsmail/A 59540-2023 FSC-klagomål mail.docx", "A 59540-2023")</f>
        <v/>
      </c>
      <c r="AC12">
        <f>HYPERLINK("https://klasma.github.io/Logging_0840/tillsyn/A 59540-2023 tillsynsbegäran.docx", "A 59540-2023")</f>
        <v/>
      </c>
      <c r="AD12">
        <f>HYPERLINK("https://klasma.github.io/Logging_0840/tillsynsmail/A 59540-2023 tillsynsbegäran mail.docx", "A 59540-2023")</f>
        <v/>
      </c>
      <c r="AE12">
        <f>HYPERLINK("https://klasma.github.io/Logging_0840/fåglar/A 59540-2023 prioriterade fågelarter.docx", "A 59540-2023")</f>
        <v/>
      </c>
    </row>
    <row r="13" ht="15" customHeight="1">
      <c r="A13" t="inlineStr">
        <is>
          <t>A 21214-2023</t>
        </is>
      </c>
      <c r="B13" t="inlineStr">
        <is>
          <t>avverkningsanmälan</t>
        </is>
      </c>
      <c r="C13" t="inlineStr">
        <is>
          <t>Föryngringsavverkning</t>
        </is>
      </c>
      <c r="D13" s="1" t="n">
        <v>45062</v>
      </c>
      <c r="E13" s="1" t="n">
        <v>46310</v>
      </c>
      <c r="F13" t="inlineStr">
        <is>
          <t>KALMAR LÄN</t>
        </is>
      </c>
      <c r="G13" t="inlineStr">
        <is>
          <t>MÖRBYLÅNGA</t>
        </is>
      </c>
      <c r="I13" t="n">
        <v>3.5</v>
      </c>
      <c r="J13" t="n">
        <v>4</v>
      </c>
      <c r="K13" t="n">
        <v>6</v>
      </c>
      <c r="L13" t="n">
        <v>5</v>
      </c>
      <c r="M13" t="n">
        <v>0</v>
      </c>
      <c r="N13" t="n">
        <v>0</v>
      </c>
      <c r="O13" t="n">
        <v>0</v>
      </c>
      <c r="P13" t="n">
        <v>0</v>
      </c>
      <c r="Q13" t="n">
        <v>5</v>
      </c>
      <c r="R13" t="n">
        <v>0</v>
      </c>
      <c r="S13" t="n">
        <v>14</v>
      </c>
      <c r="T13" t="n">
        <v>37</v>
      </c>
      <c r="U13" t="n">
        <v>37</v>
      </c>
      <c r="V13" s="2" t="inlineStr">
        <is>
          <t>Grisspindling
Mjölspindling
Svart askbastborre
Sårläka
Tallticka
Guldlockmossa
Hasselticka
Mindre märgborre
Murgröna
Platt fjädermossa
Skogsknipprot
Blåsippa
Spillkråka
Gullviva</t>
        </is>
      </c>
      <c r="W13">
        <f>HYPERLINK("https://klasma.github.io/Logging_0840/artfynd/A 21214-2023 artfynd.xlsx", "A 21214-2023")</f>
        <v/>
      </c>
      <c r="X13">
        <f>HYPERLINK("https://klasma.github.io/Logging_0840/kartor/A 21214-2023 karta.png", "A 21214-2023")</f>
        <v/>
      </c>
      <c r="Y13">
        <f>HYPERLINK("https://klasma.github.io/Logging_0840/kartor_geotiff/A 21214-2023 georefererad karta.tif", "A 21214-2023")</f>
        <v/>
      </c>
      <c r="AA13">
        <f>HYPERLINK("https://klasma.github.io/Logging_0840/klagomål/A 21214-2023 FSC-klagomål.docx", "A 21214-2023")</f>
        <v/>
      </c>
      <c r="AB13">
        <f>HYPERLINK("https://klasma.github.io/Logging_0840/klagomålsmail/A 21214-2023 FSC-klagomål mail.docx", "A 21214-2023")</f>
        <v/>
      </c>
      <c r="AC13">
        <f>HYPERLINK("https://klasma.github.io/Logging_0840/tillsyn/A 21214-2023 tillsynsbegäran.docx", "A 21214-2023")</f>
        <v/>
      </c>
      <c r="AD13">
        <f>HYPERLINK("https://klasma.github.io/Logging_0840/tillsynsmail/A 21214-2023 tillsynsbegäran mail.docx", "A 21214-2023")</f>
        <v/>
      </c>
      <c r="AE13">
        <f>HYPERLINK("https://klasma.github.io/Logging_0840/fåglar/A 21214-2023 prioriterade fågelarter.docx", "A 21214-2023")</f>
        <v/>
      </c>
    </row>
    <row r="14" ht="15" customHeight="1">
      <c r="A14" t="inlineStr">
        <is>
          <t>A 63779-2021</t>
        </is>
      </c>
      <c r="B14" t="inlineStr">
        <is>
          <t>avverkningsanmälan</t>
        </is>
      </c>
      <c r="C14" t="inlineStr">
        <is>
          <t>Avverkning för annat ändamål</t>
        </is>
      </c>
      <c r="D14" s="1" t="n">
        <v>44508</v>
      </c>
      <c r="E14" s="1" t="n">
        <v>46310</v>
      </c>
      <c r="F14" t="inlineStr">
        <is>
          <t>KALMAR LÄN</t>
        </is>
      </c>
      <c r="G14" t="inlineStr">
        <is>
          <t>MÖRBYLÅNGA</t>
        </is>
      </c>
      <c r="I14" t="n">
        <v>5.1</v>
      </c>
      <c r="J14" t="n">
        <v>8</v>
      </c>
      <c r="K14" t="n">
        <v>2</v>
      </c>
      <c r="L14" t="n">
        <v>2</v>
      </c>
      <c r="M14" t="n">
        <v>0</v>
      </c>
      <c r="N14" t="n">
        <v>1</v>
      </c>
      <c r="O14" t="n">
        <v>0</v>
      </c>
      <c r="P14" t="n">
        <v>0</v>
      </c>
      <c r="Q14" t="n">
        <v>3</v>
      </c>
      <c r="R14" t="n">
        <v>1</v>
      </c>
      <c r="S14" t="n">
        <v>12</v>
      </c>
      <c r="T14" t="n">
        <v>16</v>
      </c>
      <c r="U14" t="n">
        <v>8</v>
      </c>
      <c r="V14" s="2" t="inlineStr">
        <is>
          <t>Skogsalm
Entita
Roststumpbagge
Kragjordstjärna
Scharlakansskål
Halsbandsflugsnappare
Havsörn
Kungsfågel
Röd glada
Skogsduva
Huggorm
Kopparödla</t>
        </is>
      </c>
      <c r="W14">
        <f>HYPERLINK("https://klasma.github.io/Logging_0840/artfynd/A 63779-2021 artfynd.xlsx", "A 63779-2021")</f>
        <v/>
      </c>
      <c r="X14">
        <f>HYPERLINK("https://klasma.github.io/Logging_0840/kartor/A 63779-2021 karta.png", "A 63779-2021")</f>
        <v/>
      </c>
      <c r="Y14">
        <f>HYPERLINK("https://klasma.github.io/Logging_0840/kartor_geotiff/A 63779-2021 georefererad karta.tif", "A 63779-2021")</f>
        <v/>
      </c>
      <c r="AA14">
        <f>HYPERLINK("https://klasma.github.io/Logging_0840/klagomål/A 63779-2021 FSC-klagomål.docx", "A 63779-2021")</f>
        <v/>
      </c>
      <c r="AB14">
        <f>HYPERLINK("https://klasma.github.io/Logging_0840/klagomålsmail/A 63779-2021 FSC-klagomål mail.docx", "A 63779-2021")</f>
        <v/>
      </c>
      <c r="AC14">
        <f>HYPERLINK("https://klasma.github.io/Logging_0840/tillsyn/A 63779-2021 tillsynsbegäran.docx", "A 63779-2021")</f>
        <v/>
      </c>
      <c r="AD14">
        <f>HYPERLINK("https://klasma.github.io/Logging_0840/tillsynsmail/A 63779-2021 tillsynsbegäran mail.docx", "A 63779-2021")</f>
        <v/>
      </c>
      <c r="AE14">
        <f>HYPERLINK("https://klasma.github.io/Logging_0840/fåglar/A 63779-2021 prioriterade fågelarter.docx", "A 63779-2021")</f>
        <v/>
      </c>
    </row>
    <row r="15" ht="15" customHeight="1">
      <c r="A15" t="inlineStr">
        <is>
          <t>A 24778-2022</t>
        </is>
      </c>
      <c r="B15" t="inlineStr">
        <is>
          <t>avverkningsanmälan</t>
        </is>
      </c>
      <c r="C15" t="inlineStr">
        <is>
          <t>Föryngringsavverkning</t>
        </is>
      </c>
      <c r="D15" s="1" t="n">
        <v>44728</v>
      </c>
      <c r="E15" s="1" t="n">
        <v>46310</v>
      </c>
      <c r="F15" t="inlineStr">
        <is>
          <t>KALMAR LÄN</t>
        </is>
      </c>
      <c r="G15" t="inlineStr">
        <is>
          <t>MÖRBYLÅNGA</t>
        </is>
      </c>
      <c r="I15" t="n">
        <v>1</v>
      </c>
      <c r="J15" t="n">
        <v>1</v>
      </c>
      <c r="K15" t="n">
        <v>2</v>
      </c>
      <c r="L15" t="n">
        <v>7</v>
      </c>
      <c r="M15" t="n">
        <v>0</v>
      </c>
      <c r="N15" t="n">
        <v>1</v>
      </c>
      <c r="O15" t="n">
        <v>0</v>
      </c>
      <c r="P15" t="n">
        <v>0</v>
      </c>
      <c r="Q15" t="n">
        <v>8</v>
      </c>
      <c r="R15" t="n">
        <v>1</v>
      </c>
      <c r="S15" t="n">
        <v>11</v>
      </c>
      <c r="T15" t="n">
        <v>20</v>
      </c>
      <c r="U15" t="n">
        <v>20</v>
      </c>
      <c r="V15" s="2" t="inlineStr">
        <is>
          <t>Tofsäxing
Backtimjan
Flentimotej
Grådådra
Poppeltofsskivling
Slåtterfibbla
Sminkrot
Solvända
Kalktallört
Murgröna
Blåsippa</t>
        </is>
      </c>
      <c r="W15">
        <f>HYPERLINK("https://klasma.github.io/Logging_0840/artfynd/A 24778-2022 artfynd.xlsx", "A 24778-2022")</f>
        <v/>
      </c>
      <c r="X15">
        <f>HYPERLINK("https://klasma.github.io/Logging_0840/kartor/A 24778-2022 karta.png", "A 24778-2022")</f>
        <v/>
      </c>
      <c r="Y15">
        <f>HYPERLINK("https://klasma.github.io/Logging_0840/kartor_geotiff/A 24778-2022 georefererad karta.tif", "A 24778-2022")</f>
        <v/>
      </c>
      <c r="AA15">
        <f>HYPERLINK("https://klasma.github.io/Logging_0840/klagomål/A 24778-2022 FSC-klagomål.docx", "A 24778-2022")</f>
        <v/>
      </c>
      <c r="AB15">
        <f>HYPERLINK("https://klasma.github.io/Logging_0840/klagomålsmail/A 24778-2022 FSC-klagomål mail.docx", "A 24778-2022")</f>
        <v/>
      </c>
      <c r="AC15">
        <f>HYPERLINK("https://klasma.github.io/Logging_0840/tillsyn/A 24778-2022 tillsynsbegäran.docx", "A 24778-2022")</f>
        <v/>
      </c>
      <c r="AD15">
        <f>HYPERLINK("https://klasma.github.io/Logging_0840/tillsynsmail/A 24778-2022 tillsynsbegäran mail.docx", "A 24778-2022")</f>
        <v/>
      </c>
    </row>
    <row r="16" ht="15" customHeight="1">
      <c r="A16" t="inlineStr">
        <is>
          <t>A 60875-2025</t>
        </is>
      </c>
      <c r="B16" t="inlineStr">
        <is>
          <t>avverkningsanmälan</t>
        </is>
      </c>
      <c r="C16" t="inlineStr">
        <is>
          <t>Föryngringsavverkning</t>
        </is>
      </c>
      <c r="D16" s="1" t="n">
        <v>45999</v>
      </c>
      <c r="E16" s="1" t="n">
        <v>46310</v>
      </c>
      <c r="F16" t="inlineStr">
        <is>
          <t>KALMAR LÄN</t>
        </is>
      </c>
      <c r="G16" t="inlineStr">
        <is>
          <t>MÖRBYLÅNGA</t>
        </is>
      </c>
      <c r="I16" t="n">
        <v>2.1</v>
      </c>
      <c r="J16" t="n">
        <v>8</v>
      </c>
      <c r="K16" t="n">
        <v>1</v>
      </c>
      <c r="L16" t="n">
        <v>5</v>
      </c>
      <c r="M16" t="n">
        <v>0</v>
      </c>
      <c r="N16" t="n">
        <v>1</v>
      </c>
      <c r="O16" t="n">
        <v>1</v>
      </c>
      <c r="P16" t="n">
        <v>0</v>
      </c>
      <c r="Q16" t="n">
        <v>7</v>
      </c>
      <c r="R16" t="n">
        <v>2</v>
      </c>
      <c r="S16" t="n">
        <v>11</v>
      </c>
      <c r="T16" t="n">
        <v>12</v>
      </c>
      <c r="U16" t="n">
        <v>3</v>
      </c>
      <c r="V16" s="2" t="inlineStr">
        <is>
          <t>Järnek
Mosippa
Grönsångare
Gulsparv
Göktyta
Mindre hackspett
Svinrot
Murgröna
Spillkråka
Kråka
Skogsduva</t>
        </is>
      </c>
      <c r="W16">
        <f>HYPERLINK("https://klasma.github.io/Logging_0840/artfynd/A 60875-2025 artfynd.xlsx", "A 60875-2025")</f>
        <v/>
      </c>
      <c r="X16">
        <f>HYPERLINK("https://klasma.github.io/Logging_0840/kartor/A 60875-2025 karta.png", "A 60875-2025")</f>
        <v/>
      </c>
      <c r="Y16">
        <f>HYPERLINK("https://klasma.github.io/Logging_0840/kartor_geotiff/A 60875-2025 georefererad karta.tif", "A 60875-2025")</f>
        <v/>
      </c>
      <c r="AA16">
        <f>HYPERLINK("https://klasma.github.io/Logging_0840/klagomål/A 60875-2025 FSC-klagomål.docx", "A 60875-2025")</f>
        <v/>
      </c>
      <c r="AB16">
        <f>HYPERLINK("https://klasma.github.io/Logging_0840/klagomålsmail/A 60875-2025 FSC-klagomål mail.docx", "A 60875-2025")</f>
        <v/>
      </c>
      <c r="AC16">
        <f>HYPERLINK("https://klasma.github.io/Logging_0840/tillsyn/A 60875-2025 tillsynsbegäran.docx", "A 60875-2025")</f>
        <v/>
      </c>
      <c r="AD16">
        <f>HYPERLINK("https://klasma.github.io/Logging_0840/tillsynsmail/A 60875-2025 tillsynsbegäran mail.docx", "A 60875-2025")</f>
        <v/>
      </c>
      <c r="AE16">
        <f>HYPERLINK("https://klasma.github.io/Logging_0840/fåglar/A 60875-2025 prioriterade fågelarter.docx", "A 60875-2025")</f>
        <v/>
      </c>
    </row>
    <row r="17" ht="15" customHeight="1">
      <c r="A17" t="inlineStr">
        <is>
          <t>A 38039-2022</t>
        </is>
      </c>
      <c r="B17" t="inlineStr">
        <is>
          <t>avverkningsanmälan</t>
        </is>
      </c>
      <c r="C17" t="inlineStr">
        <is>
          <t>Avverkning för annat ändamål</t>
        </is>
      </c>
      <c r="D17" s="1" t="n">
        <v>44811</v>
      </c>
      <c r="E17" s="1" t="n">
        <v>46310</v>
      </c>
      <c r="F17" t="inlineStr">
        <is>
          <t>KALMAR LÄN</t>
        </is>
      </c>
      <c r="G17" t="inlineStr">
        <is>
          <t>MÖRBYLÅNGA</t>
        </is>
      </c>
      <c r="I17" t="n">
        <v>7.4</v>
      </c>
      <c r="J17" t="n">
        <v>4</v>
      </c>
      <c r="K17" t="n">
        <v>1</v>
      </c>
      <c r="L17" t="n">
        <v>4</v>
      </c>
      <c r="M17" t="n">
        <v>1</v>
      </c>
      <c r="N17" t="n">
        <v>1</v>
      </c>
      <c r="O17" t="n">
        <v>0</v>
      </c>
      <c r="P17" t="n">
        <v>0</v>
      </c>
      <c r="Q17" t="n">
        <v>6</v>
      </c>
      <c r="R17" t="n">
        <v>2</v>
      </c>
      <c r="S17" t="n">
        <v>11</v>
      </c>
      <c r="T17" t="n">
        <v>13</v>
      </c>
      <c r="U17" t="n">
        <v>12</v>
      </c>
      <c r="V17" s="2" t="inlineStr">
        <is>
          <t>Ask
Grov gulmossa
Backtimjan
Dvärgjordstjärna
Solvända
Ängsstarr
Murgröna
Alvarmalört
Grönvit nattviol
Krutbrännare
Gullviva</t>
        </is>
      </c>
      <c r="W17">
        <f>HYPERLINK("https://klasma.github.io/Logging_0840/artfynd/A 38039-2022 artfynd.xlsx", "A 38039-2022")</f>
        <v/>
      </c>
      <c r="X17">
        <f>HYPERLINK("https://klasma.github.io/Logging_0840/kartor/A 38039-2022 karta.png", "A 38039-2022")</f>
        <v/>
      </c>
      <c r="Y17">
        <f>HYPERLINK("https://klasma.github.io/Logging_0840/kartor_geotiff/A 38039-2022 georefererad karta.tif", "A 38039-2022")</f>
        <v/>
      </c>
      <c r="AA17">
        <f>HYPERLINK("https://klasma.github.io/Logging_0840/klagomål/A 38039-2022 FSC-klagomål.docx", "A 38039-2022")</f>
        <v/>
      </c>
      <c r="AB17">
        <f>HYPERLINK("https://klasma.github.io/Logging_0840/klagomålsmail/A 38039-2022 FSC-klagomål mail.docx", "A 38039-2022")</f>
        <v/>
      </c>
      <c r="AC17">
        <f>HYPERLINK("https://klasma.github.io/Logging_0840/tillsyn/A 38039-2022 tillsynsbegäran.docx", "A 38039-2022")</f>
        <v/>
      </c>
      <c r="AD17">
        <f>HYPERLINK("https://klasma.github.io/Logging_0840/tillsynsmail/A 38039-2022 tillsynsbegäran mail.docx", "A 38039-2022")</f>
        <v/>
      </c>
    </row>
    <row r="18" ht="15" customHeight="1">
      <c r="A18" t="inlineStr">
        <is>
          <t>A 27636-2023</t>
        </is>
      </c>
      <c r="B18" t="inlineStr">
        <is>
          <t>avverkningsanmälan</t>
        </is>
      </c>
      <c r="C18" t="inlineStr">
        <is>
          <t>Avverkning för annat ändamål</t>
        </is>
      </c>
      <c r="D18" s="1" t="n">
        <v>45097</v>
      </c>
      <c r="E18" s="1" t="n">
        <v>46310</v>
      </c>
      <c r="F18" t="inlineStr">
        <is>
          <t>KALMAR LÄN</t>
        </is>
      </c>
      <c r="G18" t="inlineStr">
        <is>
          <t>MÖRBYLÅNGA</t>
        </is>
      </c>
      <c r="I18" t="n">
        <v>7.4</v>
      </c>
      <c r="J18" t="n">
        <v>4</v>
      </c>
      <c r="K18" t="n">
        <v>1</v>
      </c>
      <c r="L18" t="n">
        <v>4</v>
      </c>
      <c r="M18" t="n">
        <v>1</v>
      </c>
      <c r="N18" t="n">
        <v>1</v>
      </c>
      <c r="O18" t="n">
        <v>0</v>
      </c>
      <c r="P18" t="n">
        <v>0</v>
      </c>
      <c r="Q18" t="n">
        <v>6</v>
      </c>
      <c r="R18" t="n">
        <v>2</v>
      </c>
      <c r="S18" t="n">
        <v>11</v>
      </c>
      <c r="T18" t="n">
        <v>13</v>
      </c>
      <c r="U18" t="n">
        <v>11</v>
      </c>
      <c r="V18" s="2" t="inlineStr">
        <is>
          <t>Ask
Grov gulmossa
Backtimjan
Dvärgjordstjärna
Solvända
Ängsstarr
Murgröna
Alvarmalört
Grönvit nattviol
Krutbrännare
Gullviva</t>
        </is>
      </c>
      <c r="W18">
        <f>HYPERLINK("https://klasma.github.io/Logging_0840/artfynd/A 27636-2023 artfynd.xlsx", "A 27636-2023")</f>
        <v/>
      </c>
      <c r="X18">
        <f>HYPERLINK("https://klasma.github.io/Logging_0840/kartor/A 27636-2023 karta.png", "A 27636-2023")</f>
        <v/>
      </c>
      <c r="Y18">
        <f>HYPERLINK("https://klasma.github.io/Logging_0840/kartor_geotiff/A 27636-2023 georefererad karta.tif", "A 27636-2023")</f>
        <v/>
      </c>
      <c r="AA18">
        <f>HYPERLINK("https://klasma.github.io/Logging_0840/klagomål/A 27636-2023 FSC-klagomål.docx", "A 27636-2023")</f>
        <v/>
      </c>
      <c r="AB18">
        <f>HYPERLINK("https://klasma.github.io/Logging_0840/klagomålsmail/A 27636-2023 FSC-klagomål mail.docx", "A 27636-2023")</f>
        <v/>
      </c>
      <c r="AC18">
        <f>HYPERLINK("https://klasma.github.io/Logging_0840/tillsyn/A 27636-2023 tillsynsbegäran.docx", "A 27636-2023")</f>
        <v/>
      </c>
      <c r="AD18">
        <f>HYPERLINK("https://klasma.github.io/Logging_0840/tillsynsmail/A 27636-2023 tillsynsbegäran mail.docx", "A 27636-2023")</f>
        <v/>
      </c>
    </row>
    <row r="19" ht="15" customHeight="1">
      <c r="A19" t="inlineStr">
        <is>
          <t>A 39320-2024</t>
        </is>
      </c>
      <c r="B19" t="inlineStr">
        <is>
          <t>avverkningsanmälan</t>
        </is>
      </c>
      <c r="C19" t="inlineStr">
        <is>
          <t>Avverkning för annat ändamål</t>
        </is>
      </c>
      <c r="D19" s="1" t="n">
        <v>45551</v>
      </c>
      <c r="E19" s="1" t="n">
        <v>46310</v>
      </c>
      <c r="F19" t="inlineStr">
        <is>
          <t>KALMAR LÄN</t>
        </is>
      </c>
      <c r="G19" t="inlineStr">
        <is>
          <t>MÖRBYLÅNGA</t>
        </is>
      </c>
      <c r="I19" t="n">
        <v>3.3</v>
      </c>
      <c r="J19" t="n">
        <v>1</v>
      </c>
      <c r="K19" t="n">
        <v>2</v>
      </c>
      <c r="L19" t="n">
        <v>4</v>
      </c>
      <c r="M19" t="n">
        <v>1</v>
      </c>
      <c r="N19" t="n">
        <v>1</v>
      </c>
      <c r="O19" t="n">
        <v>1</v>
      </c>
      <c r="P19" t="n">
        <v>0</v>
      </c>
      <c r="Q19" t="n">
        <v>7</v>
      </c>
      <c r="R19" t="n">
        <v>3</v>
      </c>
      <c r="S19" t="n">
        <v>10</v>
      </c>
      <c r="T19" t="n">
        <v>11</v>
      </c>
      <c r="U19" t="n">
        <v>10</v>
      </c>
      <c r="V19" s="2" t="inlineStr">
        <is>
          <t>Vresalm
Lundalm
Toppjungfrulin
Gulprickig vaxskivling
Korskovall
Sårläka
Vårärt
Strävlosta
Underviol
Skogsduva</t>
        </is>
      </c>
      <c r="W19">
        <f>HYPERLINK("https://klasma.github.io/Logging_0840/artfynd/A 39320-2024 artfynd.xlsx", "A 39320-2024")</f>
        <v/>
      </c>
      <c r="X19">
        <f>HYPERLINK("https://klasma.github.io/Logging_0840/kartor/A 39320-2024 karta.png", "A 39320-2024")</f>
        <v/>
      </c>
      <c r="Y19">
        <f>HYPERLINK("https://klasma.github.io/Logging_0840/kartor_geotiff/A 39320-2024 georefererad karta.tif", "A 39320-2024")</f>
        <v/>
      </c>
      <c r="AA19">
        <f>HYPERLINK("https://klasma.github.io/Logging_0840/klagomål/A 39320-2024 FSC-klagomål.docx", "A 39320-2024")</f>
        <v/>
      </c>
      <c r="AB19">
        <f>HYPERLINK("https://klasma.github.io/Logging_0840/klagomålsmail/A 39320-2024 FSC-klagomål mail.docx", "A 39320-2024")</f>
        <v/>
      </c>
      <c r="AC19">
        <f>HYPERLINK("https://klasma.github.io/Logging_0840/tillsyn/A 39320-2024 tillsynsbegäran.docx", "A 39320-2024")</f>
        <v/>
      </c>
      <c r="AD19">
        <f>HYPERLINK("https://klasma.github.io/Logging_0840/tillsynsmail/A 39320-2024 tillsynsbegäran mail.docx", "A 39320-2024")</f>
        <v/>
      </c>
    </row>
    <row r="20" ht="15" customHeight="1">
      <c r="A20" t="inlineStr">
        <is>
          <t>A 15600-2025</t>
        </is>
      </c>
      <c r="B20" t="inlineStr">
        <is>
          <t>avverkningsanmälan</t>
        </is>
      </c>
      <c r="C20" t="inlineStr">
        <is>
          <t>Avverkning för annat ändamål</t>
        </is>
      </c>
      <c r="D20" s="1" t="n">
        <v>45747</v>
      </c>
      <c r="E20" s="1" t="n">
        <v>46310</v>
      </c>
      <c r="F20" t="inlineStr">
        <is>
          <t>KALMAR LÄN</t>
        </is>
      </c>
      <c r="G20" t="inlineStr">
        <is>
          <t>MÖRBYLÅNGA</t>
        </is>
      </c>
      <c r="I20" t="n">
        <v>1.1</v>
      </c>
      <c r="J20" t="n">
        <v>3</v>
      </c>
      <c r="K20" t="n">
        <v>4</v>
      </c>
      <c r="L20" t="n">
        <v>0</v>
      </c>
      <c r="M20" t="n">
        <v>0</v>
      </c>
      <c r="N20" t="n">
        <v>1</v>
      </c>
      <c r="O20" t="n">
        <v>0</v>
      </c>
      <c r="P20" t="n">
        <v>0</v>
      </c>
      <c r="Q20" t="n">
        <v>1</v>
      </c>
      <c r="R20" t="n">
        <v>1</v>
      </c>
      <c r="S20" t="n">
        <v>10</v>
      </c>
      <c r="T20" t="n">
        <v>20</v>
      </c>
      <c r="U20" t="n">
        <v>18</v>
      </c>
      <c r="V20" s="2" t="inlineStr">
        <is>
          <t>Ask
Kragjordstjärna
Murgröna
Scharlakansvårskål agg.
Tibast
Blåsippa
Skärmstarr
Spillkråka
Storrams
Röd glada</t>
        </is>
      </c>
      <c r="W20">
        <f>HYPERLINK("https://klasma.github.io/Logging_0840/artfynd/A 15600-2025 artfynd.xlsx", "A 15600-2025")</f>
        <v/>
      </c>
      <c r="X20">
        <f>HYPERLINK("https://klasma.github.io/Logging_0840/kartor/A 15600-2025 karta.png", "A 15600-2025")</f>
        <v/>
      </c>
      <c r="Y20">
        <f>HYPERLINK("https://klasma.github.io/Logging_0840/kartor_geotiff/A 15600-2025 georefererad karta.tif", "A 15600-2025")</f>
        <v/>
      </c>
      <c r="AA20">
        <f>HYPERLINK("https://klasma.github.io/Logging_0840/klagomål/A 15600-2025 FSC-klagomål.docx", "A 15600-2025")</f>
        <v/>
      </c>
      <c r="AB20">
        <f>HYPERLINK("https://klasma.github.io/Logging_0840/klagomålsmail/A 15600-2025 FSC-klagomål mail.docx", "A 15600-2025")</f>
        <v/>
      </c>
      <c r="AC20">
        <f>HYPERLINK("https://klasma.github.io/Logging_0840/tillsyn/A 15600-2025 tillsynsbegäran.docx", "A 15600-2025")</f>
        <v/>
      </c>
      <c r="AD20">
        <f>HYPERLINK("https://klasma.github.io/Logging_0840/tillsynsmail/A 15600-2025 tillsynsbegäran mail.docx", "A 15600-2025")</f>
        <v/>
      </c>
      <c r="AE20">
        <f>HYPERLINK("https://klasma.github.io/Logging_0840/fåglar/A 15600-2025 prioriterade fågelarter.docx", "A 15600-2025")</f>
        <v/>
      </c>
    </row>
    <row r="21" ht="15" customHeight="1">
      <c r="A21" t="inlineStr">
        <is>
          <t>S 1122-2022</t>
        </is>
      </c>
      <c r="B21" t="inlineStr">
        <is>
          <t>samrådsanmälan</t>
        </is>
      </c>
      <c r="C21" t="inlineStr">
        <is>
          <t>Annan skogsbruksåtgärd</t>
        </is>
      </c>
      <c r="D21" s="1" t="n">
        <v>44616</v>
      </c>
      <c r="E21" s="1" t="n">
        <v>46310</v>
      </c>
      <c r="F21" t="inlineStr">
        <is>
          <t>KALMAR LÄN</t>
        </is>
      </c>
      <c r="G21" t="inlineStr">
        <is>
          <t>MÖRBYLÅNGA</t>
        </is>
      </c>
      <c r="I21" t="n">
        <v>2.6</v>
      </c>
      <c r="J21" t="n">
        <v>2</v>
      </c>
      <c r="K21" t="n">
        <v>3</v>
      </c>
      <c r="L21" t="n">
        <v>3</v>
      </c>
      <c r="M21" t="n">
        <v>0</v>
      </c>
      <c r="N21" t="n">
        <v>3</v>
      </c>
      <c r="O21" t="n">
        <v>0</v>
      </c>
      <c r="P21" t="n">
        <v>0</v>
      </c>
      <c r="Q21" t="n">
        <v>6</v>
      </c>
      <c r="R21" t="n">
        <v>3</v>
      </c>
      <c r="S21" t="n">
        <v>10</v>
      </c>
      <c r="T21" t="n">
        <v>16</v>
      </c>
      <c r="U21" t="n">
        <v>15</v>
      </c>
      <c r="V21" s="2" t="inlineStr">
        <is>
          <t>Ask
Lundalm
Skogsalm
Desmeknopp
Ängsskära
Åkerkulla
Hässleklocka
Tvåblad
Underviol
Sankt pers nycklar</t>
        </is>
      </c>
      <c r="W21">
        <f>HYPERLINK("https://klasma.github.io/Logging_0840/artfynd/S 1122-2022 artfynd.xlsx", "S 1122-2022")</f>
        <v/>
      </c>
      <c r="X21">
        <f>HYPERLINK("https://klasma.github.io/Logging_0840/kartor/S 1122-2022 karta.png", "S 1122-2022")</f>
        <v/>
      </c>
      <c r="Y21">
        <f>HYPERLINK("https://klasma.github.io/Logging_0840/kartor_geotiff/S 1122-2022 georefererad karta.tif", "S 1122-2022")</f>
        <v/>
      </c>
      <c r="AA21">
        <f>HYPERLINK("https://klasma.github.io/Logging_0840/klagomål/S 1122-2022 FSC-klagomål.docx", "S 1122-2022")</f>
        <v/>
      </c>
      <c r="AB21">
        <f>HYPERLINK("https://klasma.github.io/Logging_0840/klagomålsmail/S 1122-2022 FSC-klagomål mail.docx", "S 1122-2022")</f>
        <v/>
      </c>
      <c r="AC21">
        <f>HYPERLINK("https://klasma.github.io/Logging_0840/tillsyn/S 1122-2022 tillsynsbegäran.docx", "S 1122-2022")</f>
        <v/>
      </c>
      <c r="AD21">
        <f>HYPERLINK("https://klasma.github.io/Logging_0840/tillsynsmail/S 1122-2022 tillsynsbegäran mail.docx", "S 1122-2022")</f>
        <v/>
      </c>
    </row>
    <row r="22" ht="15" customHeight="1">
      <c r="A22" t="inlineStr">
        <is>
          <t>S 929-2023</t>
        </is>
      </c>
      <c r="B22" t="inlineStr">
        <is>
          <t>samrådsanmälan</t>
        </is>
      </c>
      <c r="C22" t="inlineStr">
        <is>
          <t>Annan skogsbruksåtgärd</t>
        </is>
      </c>
      <c r="D22" s="1" t="n">
        <v>45000</v>
      </c>
      <c r="E22" s="1" t="n">
        <v>46310</v>
      </c>
      <c r="F22" t="inlineStr">
        <is>
          <t>KALMAR LÄN</t>
        </is>
      </c>
      <c r="G22" t="inlineStr">
        <is>
          <t>MÖRBYLÅNGA</t>
        </is>
      </c>
      <c r="I22" t="n">
        <v>4.7</v>
      </c>
      <c r="J22" t="n">
        <v>4</v>
      </c>
      <c r="K22" t="n">
        <v>2</v>
      </c>
      <c r="L22" t="n">
        <v>3</v>
      </c>
      <c r="M22" t="n">
        <v>3</v>
      </c>
      <c r="N22" t="n">
        <v>0</v>
      </c>
      <c r="O22" t="n">
        <v>0</v>
      </c>
      <c r="P22" t="n">
        <v>0</v>
      </c>
      <c r="Q22" t="n">
        <v>6</v>
      </c>
      <c r="R22" t="n">
        <v>3</v>
      </c>
      <c r="S22" t="n">
        <v>9</v>
      </c>
      <c r="T22" t="n">
        <v>12</v>
      </c>
      <c r="U22" t="n">
        <v>8</v>
      </c>
      <c r="V22" s="2" t="inlineStr">
        <is>
          <t>Liten jordstjärna
Stare
Stortimjan
Göktyta
Hedröksvamp
Vårstarr
Ekoxe
Murgröna
Kopparödla</t>
        </is>
      </c>
      <c r="W22">
        <f>HYPERLINK("https://klasma.github.io/Logging_0840/artfynd/S 929-2023 artfynd.xlsx", "S 929-2023")</f>
        <v/>
      </c>
      <c r="X22">
        <f>HYPERLINK("https://klasma.github.io/Logging_0840/kartor/S 929-2023 karta.png", "S 929-2023")</f>
        <v/>
      </c>
      <c r="Y22">
        <f>HYPERLINK("https://klasma.github.io/Logging_0840/kartor_geotiff/S 929-2023 georefererad karta.tif", "S 929-2023")</f>
        <v/>
      </c>
      <c r="AA22">
        <f>HYPERLINK("https://klasma.github.io/Logging_0840/klagomål/S 929-2023 FSC-klagomål.docx", "S 929-2023")</f>
        <v/>
      </c>
      <c r="AB22">
        <f>HYPERLINK("https://klasma.github.io/Logging_0840/klagomålsmail/S 929-2023 FSC-klagomål mail.docx", "S 929-2023")</f>
        <v/>
      </c>
      <c r="AC22">
        <f>HYPERLINK("https://klasma.github.io/Logging_0840/tillsyn/S 929-2023 tillsynsbegäran.docx", "S 929-2023")</f>
        <v/>
      </c>
      <c r="AD22">
        <f>HYPERLINK("https://klasma.github.io/Logging_0840/tillsynsmail/S 929-2023 tillsynsbegäran mail.docx", "S 929-2023")</f>
        <v/>
      </c>
      <c r="AE22">
        <f>HYPERLINK("https://klasma.github.io/Logging_0840/fåglar/S 929-2023 prioriterade fågelarter.docx", "S 929-2023")</f>
        <v/>
      </c>
    </row>
    <row r="23" ht="15" customHeight="1">
      <c r="A23" t="inlineStr">
        <is>
          <t>A 35242-2024</t>
        </is>
      </c>
      <c r="B23" t="inlineStr">
        <is>
          <t>avverkningsanmälan</t>
        </is>
      </c>
      <c r="C23" t="inlineStr">
        <is>
          <t>Föryngringsavverkning</t>
        </is>
      </c>
      <c r="D23" s="1" t="n">
        <v>45530</v>
      </c>
      <c r="E23" s="1" t="n">
        <v>46310</v>
      </c>
      <c r="F23" t="inlineStr">
        <is>
          <t>KALMAR LÄN</t>
        </is>
      </c>
      <c r="G23" t="inlineStr">
        <is>
          <t>MÖRBYLÅNGA</t>
        </is>
      </c>
      <c r="I23" t="n">
        <v>0.9</v>
      </c>
      <c r="J23" t="n">
        <v>2</v>
      </c>
      <c r="K23" t="n">
        <v>3</v>
      </c>
      <c r="L23" t="n">
        <v>0</v>
      </c>
      <c r="M23" t="n">
        <v>3</v>
      </c>
      <c r="N23" t="n">
        <v>1</v>
      </c>
      <c r="O23" t="n">
        <v>0</v>
      </c>
      <c r="P23" t="n">
        <v>0</v>
      </c>
      <c r="Q23" t="n">
        <v>4</v>
      </c>
      <c r="R23" t="n">
        <v>4</v>
      </c>
      <c r="S23" t="n">
        <v>8</v>
      </c>
      <c r="T23" t="n">
        <v>12</v>
      </c>
      <c r="U23" t="n">
        <v>6</v>
      </c>
      <c r="V23" s="2" t="inlineStr">
        <is>
          <t>Sandgeting
Liten diskröksvamp
Naveljordstjärna
Ryl
Grönpyrola
Murgröna
Skogsknipprot
Blåsippa</t>
        </is>
      </c>
      <c r="W23">
        <f>HYPERLINK("https://klasma.github.io/Logging_0840/artfynd/A 35242-2024 artfynd.xlsx", "A 35242-2024")</f>
        <v/>
      </c>
      <c r="X23">
        <f>HYPERLINK("https://klasma.github.io/Logging_0840/kartor/A 35242-2024 karta.png", "A 35242-2024")</f>
        <v/>
      </c>
      <c r="Y23">
        <f>HYPERLINK("https://klasma.github.io/Logging_0840/kartor_geotiff/A 35242-2024 georefererad karta.tif", "A 35242-2024")</f>
        <v/>
      </c>
      <c r="Z23">
        <f>HYPERLINK("https://klasma.github.io/Logging_0840/knärot/A 35242-2024 karta knärot.png", "A 35242-2024")</f>
        <v/>
      </c>
      <c r="AA23">
        <f>HYPERLINK("https://klasma.github.io/Logging_0840/klagomål/A 35242-2024 FSC-klagomål.docx", "A 35242-2024")</f>
        <v/>
      </c>
      <c r="AB23">
        <f>HYPERLINK("https://klasma.github.io/Logging_0840/klagomålsmail/A 35242-2024 FSC-klagomål mail.docx", "A 35242-2024")</f>
        <v/>
      </c>
      <c r="AC23">
        <f>HYPERLINK("https://klasma.github.io/Logging_0840/tillsyn/A 35242-2024 tillsynsbegäran.docx", "A 35242-2024")</f>
        <v/>
      </c>
      <c r="AD23">
        <f>HYPERLINK("https://klasma.github.io/Logging_0840/tillsynsmail/A 35242-2024 tillsynsbegäran mail.docx", "A 35242-2024")</f>
        <v/>
      </c>
    </row>
    <row r="24" ht="15" customHeight="1">
      <c r="A24" t="inlineStr">
        <is>
          <t>S 3773-2023</t>
        </is>
      </c>
      <c r="B24" t="inlineStr">
        <is>
          <t>samrådsanmälan</t>
        </is>
      </c>
      <c r="C24" t="inlineStr">
        <is>
          <t>Annan skogsbruksåtgärd</t>
        </is>
      </c>
      <c r="D24" s="1" t="n">
        <v>45223</v>
      </c>
      <c r="E24" s="1" t="n">
        <v>46310</v>
      </c>
      <c r="F24" t="inlineStr">
        <is>
          <t>KALMAR LÄN</t>
        </is>
      </c>
      <c r="G24" t="inlineStr">
        <is>
          <t>MÖRBYLÅNGA</t>
        </is>
      </c>
      <c r="I24" t="n">
        <v>0.3</v>
      </c>
      <c r="J24" t="n">
        <v>2</v>
      </c>
      <c r="K24" t="n">
        <v>1</v>
      </c>
      <c r="L24" t="n">
        <v>3</v>
      </c>
      <c r="M24" t="n">
        <v>0</v>
      </c>
      <c r="N24" t="n">
        <v>2</v>
      </c>
      <c r="O24" t="n">
        <v>0</v>
      </c>
      <c r="P24" t="n">
        <v>0</v>
      </c>
      <c r="Q24" t="n">
        <v>5</v>
      </c>
      <c r="R24" t="n">
        <v>2</v>
      </c>
      <c r="S24" t="n">
        <v>8</v>
      </c>
      <c r="T24" t="n">
        <v>9</v>
      </c>
      <c r="U24" t="n">
        <v>9</v>
      </c>
      <c r="V24" s="2" t="inlineStr">
        <is>
          <t>Ask
Lundalm
Sårläka
Vippärt
Ängsskära
Murgröna
Blåsippa
Gullviva</t>
        </is>
      </c>
      <c r="W24">
        <f>HYPERLINK("https://klasma.github.io/Logging_0840/artfynd/S 3773-2023 artfynd.xlsx", "S 3773-2023")</f>
        <v/>
      </c>
      <c r="X24">
        <f>HYPERLINK("https://klasma.github.io/Logging_0840/kartor/S 3773-2023 karta.png", "S 3773-2023")</f>
        <v/>
      </c>
      <c r="Y24">
        <f>HYPERLINK("https://klasma.github.io/Logging_0840/kartor_geotiff/S 3773-2023 georefererad karta.tif", "S 3773-2023")</f>
        <v/>
      </c>
      <c r="AA24">
        <f>HYPERLINK("https://klasma.github.io/Logging_0840/klagomål/S 3773-2023 FSC-klagomål.docx", "S 3773-2023")</f>
        <v/>
      </c>
      <c r="AB24">
        <f>HYPERLINK("https://klasma.github.io/Logging_0840/klagomålsmail/S 3773-2023 FSC-klagomål mail.docx", "S 3773-2023")</f>
        <v/>
      </c>
      <c r="AC24">
        <f>HYPERLINK("https://klasma.github.io/Logging_0840/tillsyn/S 3773-2023 tillsynsbegäran.docx", "S 3773-2023")</f>
        <v/>
      </c>
      <c r="AD24">
        <f>HYPERLINK("https://klasma.github.io/Logging_0840/tillsynsmail/S 3773-2023 tillsynsbegäran mail.docx", "S 3773-2023")</f>
        <v/>
      </c>
    </row>
    <row r="25" ht="15" customHeight="1">
      <c r="A25" t="inlineStr">
        <is>
          <t>S 1833-2023</t>
        </is>
      </c>
      <c r="B25" t="inlineStr">
        <is>
          <t>samrådsanmälan</t>
        </is>
      </c>
      <c r="C25" t="inlineStr">
        <is>
          <t>Annan skogsbruksåtgärd</t>
        </is>
      </c>
      <c r="D25" s="1" t="n">
        <v>45075</v>
      </c>
      <c r="E25" s="1" t="n">
        <v>46310</v>
      </c>
      <c r="F25" t="inlineStr">
        <is>
          <t>KALMAR LÄN</t>
        </is>
      </c>
      <c r="G25" t="inlineStr">
        <is>
          <t>MÖRBYLÅNGA</t>
        </is>
      </c>
      <c r="I25" t="n">
        <v>0.4</v>
      </c>
      <c r="J25" t="n">
        <v>3</v>
      </c>
      <c r="K25" t="n">
        <v>2</v>
      </c>
      <c r="L25" t="n">
        <v>3</v>
      </c>
      <c r="M25" t="n">
        <v>0</v>
      </c>
      <c r="N25" t="n">
        <v>0</v>
      </c>
      <c r="O25" t="n">
        <v>0</v>
      </c>
      <c r="P25" t="n">
        <v>0</v>
      </c>
      <c r="Q25" t="n">
        <v>3</v>
      </c>
      <c r="R25" t="n">
        <v>0</v>
      </c>
      <c r="S25" t="n">
        <v>8</v>
      </c>
      <c r="T25" t="n">
        <v>11</v>
      </c>
      <c r="U25" t="n">
        <v>10</v>
      </c>
      <c r="V25" s="2" t="inlineStr">
        <is>
          <t>Sårläka
Vippärt
Ängsskära
Murgröna
Vätteros
Blåsippa
Sankt pers nycklar
Gullviva</t>
        </is>
      </c>
      <c r="W25">
        <f>HYPERLINK("https://klasma.github.io/Logging_0840/artfynd/S 1833-2023 artfynd.xlsx", "S 1833-2023")</f>
        <v/>
      </c>
      <c r="X25">
        <f>HYPERLINK("https://klasma.github.io/Logging_0840/kartor/S 1833-2023 karta.png", "S 1833-2023")</f>
        <v/>
      </c>
      <c r="Y25">
        <f>HYPERLINK("https://klasma.github.io/Logging_0840/kartor_geotiff/S 1833-2023 georefererad karta.tif", "S 1833-2023")</f>
        <v/>
      </c>
      <c r="AA25">
        <f>HYPERLINK("https://klasma.github.io/Logging_0840/klagomål/S 1833-2023 FSC-klagomål.docx", "S 1833-2023")</f>
        <v/>
      </c>
      <c r="AB25">
        <f>HYPERLINK("https://klasma.github.io/Logging_0840/klagomålsmail/S 1833-2023 FSC-klagomål mail.docx", "S 1833-2023")</f>
        <v/>
      </c>
      <c r="AC25">
        <f>HYPERLINK("https://klasma.github.io/Logging_0840/tillsyn/S 1833-2023 tillsynsbegäran.docx", "S 1833-2023")</f>
        <v/>
      </c>
      <c r="AD25">
        <f>HYPERLINK("https://klasma.github.io/Logging_0840/tillsynsmail/S 1833-2023 tillsynsbegäran mail.docx", "S 1833-2023")</f>
        <v/>
      </c>
    </row>
    <row r="26" ht="15" customHeight="1">
      <c r="A26" t="inlineStr">
        <is>
          <t>A 40361-2023</t>
        </is>
      </c>
      <c r="B26" t="inlineStr">
        <is>
          <t>avverkningsanmälan</t>
        </is>
      </c>
      <c r="C26" t="inlineStr">
        <is>
          <t>Avverkning för annat ändamål</t>
        </is>
      </c>
      <c r="D26" s="1" t="n">
        <v>45169</v>
      </c>
      <c r="E26" s="1" t="n">
        <v>46310</v>
      </c>
      <c r="F26" t="inlineStr">
        <is>
          <t>KALMAR LÄN</t>
        </is>
      </c>
      <c r="G26" t="inlineStr">
        <is>
          <t>MÖRBYLÅNGA</t>
        </is>
      </c>
      <c r="I26" t="n">
        <v>1.1</v>
      </c>
      <c r="J26" t="n">
        <v>1</v>
      </c>
      <c r="K26" t="n">
        <v>0</v>
      </c>
      <c r="L26" t="n">
        <v>4</v>
      </c>
      <c r="M26" t="n">
        <v>0</v>
      </c>
      <c r="N26" t="n">
        <v>2</v>
      </c>
      <c r="O26" t="n">
        <v>0</v>
      </c>
      <c r="P26" t="n">
        <v>0</v>
      </c>
      <c r="Q26" t="n">
        <v>6</v>
      </c>
      <c r="R26" t="n">
        <v>2</v>
      </c>
      <c r="S26" t="n">
        <v>7</v>
      </c>
      <c r="T26" t="n">
        <v>11</v>
      </c>
      <c r="U26" t="n">
        <v>10</v>
      </c>
      <c r="V26" s="2" t="inlineStr">
        <is>
          <t>Ask
Lundalm
Sminkrot
Vippärt
Ängsskära
Åkerrödtoppa
Näktergal</t>
        </is>
      </c>
      <c r="W26">
        <f>HYPERLINK("https://klasma.github.io/Logging_0840/artfynd/A 40361-2023 artfynd.xlsx", "A 40361-2023")</f>
        <v/>
      </c>
      <c r="X26">
        <f>HYPERLINK("https://klasma.github.io/Logging_0840/kartor/A 40361-2023 karta.png", "A 40361-2023")</f>
        <v/>
      </c>
      <c r="Y26">
        <f>HYPERLINK("https://klasma.github.io/Logging_0840/kartor_geotiff/A 40361-2023 georefererad karta.tif", "A 40361-2023")</f>
        <v/>
      </c>
      <c r="AA26">
        <f>HYPERLINK("https://klasma.github.io/Logging_0840/klagomål/A 40361-2023 FSC-klagomål.docx", "A 40361-2023")</f>
        <v/>
      </c>
      <c r="AB26">
        <f>HYPERLINK("https://klasma.github.io/Logging_0840/klagomålsmail/A 40361-2023 FSC-klagomål mail.docx", "A 40361-2023")</f>
        <v/>
      </c>
      <c r="AC26">
        <f>HYPERLINK("https://klasma.github.io/Logging_0840/tillsyn/A 40361-2023 tillsynsbegäran.docx", "A 40361-2023")</f>
        <v/>
      </c>
      <c r="AD26">
        <f>HYPERLINK("https://klasma.github.io/Logging_0840/tillsynsmail/A 40361-2023 tillsynsbegäran mail.docx", "A 40361-2023")</f>
        <v/>
      </c>
      <c r="AE26">
        <f>HYPERLINK("https://klasma.github.io/Logging_0840/fåglar/A 40361-2023 prioriterade fågelarter.docx", "A 40361-2023")</f>
        <v/>
      </c>
    </row>
    <row r="27" ht="15" customHeight="1">
      <c r="A27" t="inlineStr">
        <is>
          <t>A 43704-2025</t>
        </is>
      </c>
      <c r="B27" t="inlineStr">
        <is>
          <t>avverkningsanmälan</t>
        </is>
      </c>
      <c r="C27" t="inlineStr">
        <is>
          <t>Föryngringsavverkning</t>
        </is>
      </c>
      <c r="D27" s="1" t="n">
        <v>45912</v>
      </c>
      <c r="E27" s="1" t="n">
        <v>46310</v>
      </c>
      <c r="F27" t="inlineStr">
        <is>
          <t>KALMAR LÄN</t>
        </is>
      </c>
      <c r="G27" t="inlineStr">
        <is>
          <t>MÖRBYLÅNGA</t>
        </is>
      </c>
      <c r="I27" t="n">
        <v>2.7</v>
      </c>
      <c r="J27" t="n">
        <v>5</v>
      </c>
      <c r="K27" t="n">
        <v>1</v>
      </c>
      <c r="L27" t="n">
        <v>0</v>
      </c>
      <c r="M27" t="n">
        <v>0</v>
      </c>
      <c r="N27" t="n">
        <v>0</v>
      </c>
      <c r="O27" t="n">
        <v>0</v>
      </c>
      <c r="P27" t="n">
        <v>0</v>
      </c>
      <c r="Q27" t="n">
        <v>0</v>
      </c>
      <c r="R27" t="n">
        <v>0</v>
      </c>
      <c r="S27" t="n">
        <v>6</v>
      </c>
      <c r="T27" t="n">
        <v>6</v>
      </c>
      <c r="U27" t="n">
        <v>1</v>
      </c>
      <c r="V27" s="2" t="inlineStr">
        <is>
          <t>Blomkålssvamp
Långbensgroda
Större vattensalamander
Åkergroda
Mindre vattensalamander
Vanlig padda</t>
        </is>
      </c>
      <c r="W27">
        <f>HYPERLINK("https://klasma.github.io/Logging_0840/artfynd/A 43704-2025 artfynd.xlsx", "A 43704-2025")</f>
        <v/>
      </c>
      <c r="X27">
        <f>HYPERLINK("https://klasma.github.io/Logging_0840/kartor/A 43704-2025 karta.png", "A 43704-2025")</f>
        <v/>
      </c>
      <c r="Y27">
        <f>HYPERLINK("https://klasma.github.io/Logging_0840/kartor_geotiff/A 43704-2025 georefererad karta.tif", "A 43704-2025")</f>
        <v/>
      </c>
      <c r="AA27">
        <f>HYPERLINK("https://klasma.github.io/Logging_0840/klagomål/A 43704-2025 FSC-klagomål.docx", "A 43704-2025")</f>
        <v/>
      </c>
      <c r="AB27">
        <f>HYPERLINK("https://klasma.github.io/Logging_0840/klagomålsmail/A 43704-2025 FSC-klagomål mail.docx", "A 43704-2025")</f>
        <v/>
      </c>
      <c r="AC27">
        <f>HYPERLINK("https://klasma.github.io/Logging_0840/tillsyn/A 43704-2025 tillsynsbegäran.docx", "A 43704-2025")</f>
        <v/>
      </c>
      <c r="AD27">
        <f>HYPERLINK("https://klasma.github.io/Logging_0840/tillsynsmail/A 43704-2025 tillsynsbegäran mail.docx", "A 43704-2025")</f>
        <v/>
      </c>
    </row>
    <row r="28" ht="15" customHeight="1">
      <c r="A28" t="inlineStr">
        <is>
          <t>A 43714-2025</t>
        </is>
      </c>
      <c r="B28" t="inlineStr">
        <is>
          <t>avverkningsanmälan</t>
        </is>
      </c>
      <c r="C28" t="inlineStr">
        <is>
          <t>Föryngringsavverkning</t>
        </is>
      </c>
      <c r="D28" s="1" t="n">
        <v>45912</v>
      </c>
      <c r="E28" s="1" t="n">
        <v>46310</v>
      </c>
      <c r="F28" t="inlineStr">
        <is>
          <t>KALMAR LÄN</t>
        </is>
      </c>
      <c r="G28" t="inlineStr">
        <is>
          <t>MÖRBYLÅNGA</t>
        </is>
      </c>
      <c r="I28" t="n">
        <v>7.9</v>
      </c>
      <c r="J28" t="n">
        <v>1</v>
      </c>
      <c r="K28" t="n">
        <v>3</v>
      </c>
      <c r="L28" t="n">
        <v>1</v>
      </c>
      <c r="M28" t="n">
        <v>2</v>
      </c>
      <c r="N28" t="n">
        <v>0</v>
      </c>
      <c r="O28" t="n">
        <v>0</v>
      </c>
      <c r="P28" t="n">
        <v>0</v>
      </c>
      <c r="Q28" t="n">
        <v>3</v>
      </c>
      <c r="R28" t="n">
        <v>2</v>
      </c>
      <c r="S28" t="n">
        <v>6</v>
      </c>
      <c r="T28" t="n">
        <v>8</v>
      </c>
      <c r="U28" t="n">
        <v>2</v>
      </c>
      <c r="V28" s="2" t="inlineStr">
        <is>
          <t>Mindre bastardsvärmare
Sexfläckig bastardsvärmare
Grönsångare
Murgröna
Tibast
Trädporella</t>
        </is>
      </c>
      <c r="W28">
        <f>HYPERLINK("https://klasma.github.io/Logging_0840/artfynd/A 43714-2025 artfynd.xlsx", "A 43714-2025")</f>
        <v/>
      </c>
      <c r="X28">
        <f>HYPERLINK("https://klasma.github.io/Logging_0840/kartor/A 43714-2025 karta.png", "A 43714-2025")</f>
        <v/>
      </c>
      <c r="Y28">
        <f>HYPERLINK("https://klasma.github.io/Logging_0840/kartor_geotiff/A 43714-2025 georefererad karta.tif", "A 43714-2025")</f>
        <v/>
      </c>
      <c r="AA28">
        <f>HYPERLINK("https://klasma.github.io/Logging_0840/klagomål/A 43714-2025 FSC-klagomål.docx", "A 43714-2025")</f>
        <v/>
      </c>
      <c r="AB28">
        <f>HYPERLINK("https://klasma.github.io/Logging_0840/klagomålsmail/A 43714-2025 FSC-klagomål mail.docx", "A 43714-2025")</f>
        <v/>
      </c>
      <c r="AC28">
        <f>HYPERLINK("https://klasma.github.io/Logging_0840/tillsyn/A 43714-2025 tillsynsbegäran.docx", "A 43714-2025")</f>
        <v/>
      </c>
      <c r="AD28">
        <f>HYPERLINK("https://klasma.github.io/Logging_0840/tillsynsmail/A 43714-2025 tillsynsbegäran mail.docx", "A 43714-2025")</f>
        <v/>
      </c>
      <c r="AE28">
        <f>HYPERLINK("https://klasma.github.io/Logging_0840/fåglar/A 43714-2025 prioriterade fågelarter.docx", "A 43714-2025")</f>
        <v/>
      </c>
    </row>
    <row r="29" ht="15" customHeight="1">
      <c r="A29" t="inlineStr">
        <is>
          <t>S 1814-2026</t>
        </is>
      </c>
      <c r="B29" t="inlineStr">
        <is>
          <t>samrådsanmälan</t>
        </is>
      </c>
      <c r="C29" t="inlineStr">
        <is>
          <t>Annan skogsbruksåtgärd</t>
        </is>
      </c>
      <c r="D29" s="1" t="n">
        <v>46190</v>
      </c>
      <c r="E29" s="1" t="n">
        <v>46310</v>
      </c>
      <c r="F29" t="inlineStr">
        <is>
          <t>KALMAR LÄN</t>
        </is>
      </c>
      <c r="G29" t="inlineStr">
        <is>
          <t>MÖRBYLÅNGA</t>
        </is>
      </c>
      <c r="I29" t="n">
        <v>10.7</v>
      </c>
      <c r="J29" t="n">
        <v>3</v>
      </c>
      <c r="K29" t="n">
        <v>0</v>
      </c>
      <c r="L29" t="n">
        <v>2</v>
      </c>
      <c r="M29" t="n">
        <v>1</v>
      </c>
      <c r="N29" t="n">
        <v>0</v>
      </c>
      <c r="O29" t="n">
        <v>0</v>
      </c>
      <c r="P29" t="n">
        <v>0</v>
      </c>
      <c r="Q29" t="n">
        <v>3</v>
      </c>
      <c r="R29" t="n">
        <v>1</v>
      </c>
      <c r="S29" t="n">
        <v>6</v>
      </c>
      <c r="T29" t="n">
        <v>11</v>
      </c>
      <c r="U29" t="n">
        <v>0</v>
      </c>
      <c r="V29" s="2" t="inlineStr">
        <is>
          <t>Småvänderot
Leopardsköldbagge
Ängsstarr
Brudsporre
Kärrknipprot
Ängsnycklar</t>
        </is>
      </c>
      <c r="W29">
        <f>HYPERLINK("https://klasma.github.io/Logging_0840/artfynd/S 1814-2026 artfynd.xlsx", "S 1814-2026")</f>
        <v/>
      </c>
      <c r="X29">
        <f>HYPERLINK("https://klasma.github.io/Logging_0840/kartor/S 1814-2026 karta.png", "S 1814-2026")</f>
        <v/>
      </c>
      <c r="Y29">
        <f>HYPERLINK("https://klasma.github.io/Logging_0840/kartor_geotiff/S 1814-2026 georefererad karta.tif", "S 1814-2026")</f>
        <v/>
      </c>
      <c r="AA29">
        <f>HYPERLINK("https://klasma.github.io/Logging_0840/klagomål/S 1814-2026 FSC-klagomål.docx", "S 1814-2026")</f>
        <v/>
      </c>
      <c r="AB29">
        <f>HYPERLINK("https://klasma.github.io/Logging_0840/klagomålsmail/S 1814-2026 FSC-klagomål mail.docx", "S 1814-2026")</f>
        <v/>
      </c>
      <c r="AC29">
        <f>HYPERLINK("https://klasma.github.io/Logging_0840/tillsyn/S 1814-2026 tillsynsbegäran.docx", "S 1814-2026")</f>
        <v/>
      </c>
      <c r="AD29">
        <f>HYPERLINK("https://klasma.github.io/Logging_0840/tillsynsmail/S 1814-2026 tillsynsbegäran mail.docx", "S 1814-2026")</f>
        <v/>
      </c>
    </row>
    <row r="30" ht="15" customHeight="1">
      <c r="A30" t="inlineStr">
        <is>
          <t>A 61963-2025</t>
        </is>
      </c>
      <c r="B30" t="inlineStr">
        <is>
          <t>avverkningsanmälan</t>
        </is>
      </c>
      <c r="C30" t="inlineStr">
        <is>
          <t>Avverkning för annat ändamål</t>
        </is>
      </c>
      <c r="D30" s="1" t="n">
        <v>46003</v>
      </c>
      <c r="E30" s="1" t="n">
        <v>46310</v>
      </c>
      <c r="F30" t="inlineStr">
        <is>
          <t>KALMAR LÄN</t>
        </is>
      </c>
      <c r="G30" t="inlineStr">
        <is>
          <t>MÖRBYLÅNGA</t>
        </is>
      </c>
      <c r="I30" t="n">
        <v>1.1</v>
      </c>
      <c r="J30" t="n">
        <v>4</v>
      </c>
      <c r="K30" t="n">
        <v>1</v>
      </c>
      <c r="L30" t="n">
        <v>1</v>
      </c>
      <c r="M30" t="n">
        <v>0</v>
      </c>
      <c r="N30" t="n">
        <v>0</v>
      </c>
      <c r="O30" t="n">
        <v>0</v>
      </c>
      <c r="P30" t="n">
        <v>0</v>
      </c>
      <c r="Q30" t="n">
        <v>1</v>
      </c>
      <c r="R30" t="n">
        <v>0</v>
      </c>
      <c r="S30" t="n">
        <v>5</v>
      </c>
      <c r="T30" t="n">
        <v>8</v>
      </c>
      <c r="U30" t="n">
        <v>3</v>
      </c>
      <c r="V30" s="2" t="inlineStr">
        <is>
          <t>Gulsparv
Mindre märgborre
Blåsippa
Spillkråka
Röd glada</t>
        </is>
      </c>
      <c r="W30">
        <f>HYPERLINK("https://klasma.github.io/Logging_0840/artfynd/A 61963-2025 artfynd.xlsx", "A 61963-2025")</f>
        <v/>
      </c>
      <c r="X30">
        <f>HYPERLINK("https://klasma.github.io/Logging_0840/kartor/A 61963-2025 karta.png", "A 61963-2025")</f>
        <v/>
      </c>
      <c r="Y30">
        <f>HYPERLINK("https://klasma.github.io/Logging_0840/kartor_geotiff/A 61963-2025 georefererad karta.tif", "A 61963-2025")</f>
        <v/>
      </c>
      <c r="AA30">
        <f>HYPERLINK("https://klasma.github.io/Logging_0840/klagomål/A 61963-2025 FSC-klagomål.docx", "A 61963-2025")</f>
        <v/>
      </c>
      <c r="AB30">
        <f>HYPERLINK("https://klasma.github.io/Logging_0840/klagomålsmail/A 61963-2025 FSC-klagomål mail.docx", "A 61963-2025")</f>
        <v/>
      </c>
      <c r="AC30">
        <f>HYPERLINK("https://klasma.github.io/Logging_0840/tillsyn/A 61963-2025 tillsynsbegäran.docx", "A 61963-2025")</f>
        <v/>
      </c>
      <c r="AD30">
        <f>HYPERLINK("https://klasma.github.io/Logging_0840/tillsynsmail/A 61963-2025 tillsynsbegäran mail.docx", "A 61963-2025")</f>
        <v/>
      </c>
      <c r="AE30">
        <f>HYPERLINK("https://klasma.github.io/Logging_0840/fåglar/A 61963-2025 prioriterade fågelarter.docx", "A 61963-2025")</f>
        <v/>
      </c>
    </row>
    <row r="31" ht="15" customHeight="1">
      <c r="A31" t="inlineStr">
        <is>
          <t>A 2864-2026</t>
        </is>
      </c>
      <c r="B31" t="inlineStr">
        <is>
          <t>avverkningsanmälan</t>
        </is>
      </c>
      <c r="C31" t="inlineStr">
        <is>
          <t>Föryngringsavverkning</t>
        </is>
      </c>
      <c r="D31" s="1" t="n">
        <v>46038</v>
      </c>
      <c r="E31" s="1" t="n">
        <v>46310</v>
      </c>
      <c r="F31" t="inlineStr">
        <is>
          <t>KALMAR LÄN</t>
        </is>
      </c>
      <c r="G31" t="inlineStr">
        <is>
          <t>MÖRBYLÅNGA</t>
        </is>
      </c>
      <c r="I31" t="n">
        <v>1</v>
      </c>
      <c r="J31" t="n">
        <v>4</v>
      </c>
      <c r="K31" t="n">
        <v>1</v>
      </c>
      <c r="L31" t="n">
        <v>1</v>
      </c>
      <c r="M31" t="n">
        <v>0</v>
      </c>
      <c r="N31" t="n">
        <v>0</v>
      </c>
      <c r="O31" t="n">
        <v>0</v>
      </c>
      <c r="P31" t="n">
        <v>0</v>
      </c>
      <c r="Q31" t="n">
        <v>1</v>
      </c>
      <c r="R31" t="n">
        <v>0</v>
      </c>
      <c r="S31" t="n">
        <v>5</v>
      </c>
      <c r="T31" t="n">
        <v>8</v>
      </c>
      <c r="U31" t="n">
        <v>3</v>
      </c>
      <c r="V31" s="2" t="inlineStr">
        <is>
          <t>Gulsparv
Mindre märgborre
Blåsippa
Spillkråka
Röd glada</t>
        </is>
      </c>
      <c r="W31">
        <f>HYPERLINK("https://klasma.github.io/Logging_0840/artfynd/A 2864-2026 artfynd.xlsx", "A 2864-2026")</f>
        <v/>
      </c>
      <c r="X31">
        <f>HYPERLINK("https://klasma.github.io/Logging_0840/kartor/A 2864-2026 karta.png", "A 2864-2026")</f>
        <v/>
      </c>
      <c r="Y31">
        <f>HYPERLINK("https://klasma.github.io/Logging_0840/kartor_geotiff/A 2864-2026 georefererad karta.tif", "A 2864-2026")</f>
        <v/>
      </c>
      <c r="AA31">
        <f>HYPERLINK("https://klasma.github.io/Logging_0840/klagomål/A 2864-2026 FSC-klagomål.docx", "A 2864-2026")</f>
        <v/>
      </c>
      <c r="AB31">
        <f>HYPERLINK("https://klasma.github.io/Logging_0840/klagomålsmail/A 2864-2026 FSC-klagomål mail.docx", "A 2864-2026")</f>
        <v/>
      </c>
      <c r="AC31">
        <f>HYPERLINK("https://klasma.github.io/Logging_0840/tillsyn/A 2864-2026 tillsynsbegäran.docx", "A 2864-2026")</f>
        <v/>
      </c>
      <c r="AD31">
        <f>HYPERLINK("https://klasma.github.io/Logging_0840/tillsynsmail/A 2864-2026 tillsynsbegäran mail.docx", "A 2864-2026")</f>
        <v/>
      </c>
      <c r="AE31">
        <f>HYPERLINK("https://klasma.github.io/Logging_0840/fåglar/A 2864-2026 prioriterade fågelarter.docx", "A 2864-2026")</f>
        <v/>
      </c>
    </row>
    <row r="32" ht="15" customHeight="1">
      <c r="A32" t="inlineStr">
        <is>
          <t>A 54167-2024</t>
        </is>
      </c>
      <c r="B32" t="inlineStr">
        <is>
          <t>avverkningsanmälan</t>
        </is>
      </c>
      <c r="C32" t="inlineStr">
        <is>
          <t>Föryngringsavverkning</t>
        </is>
      </c>
      <c r="D32" s="1" t="n">
        <v>45616</v>
      </c>
      <c r="E32" s="1" t="n">
        <v>46310</v>
      </c>
      <c r="F32" t="inlineStr">
        <is>
          <t>KALMAR LÄN</t>
        </is>
      </c>
      <c r="G32" t="inlineStr">
        <is>
          <t>MÖRBYLÅNGA</t>
        </is>
      </c>
      <c r="I32" t="n">
        <v>1.5</v>
      </c>
      <c r="J32" t="n">
        <v>2</v>
      </c>
      <c r="K32" t="n">
        <v>2</v>
      </c>
      <c r="L32" t="n">
        <v>0</v>
      </c>
      <c r="M32" t="n">
        <v>0</v>
      </c>
      <c r="N32" t="n">
        <v>1</v>
      </c>
      <c r="O32" t="n">
        <v>0</v>
      </c>
      <c r="P32" t="n">
        <v>0</v>
      </c>
      <c r="Q32" t="n">
        <v>1</v>
      </c>
      <c r="R32" t="n">
        <v>1</v>
      </c>
      <c r="S32" t="n">
        <v>4</v>
      </c>
      <c r="T32" t="n">
        <v>8</v>
      </c>
      <c r="U32" t="n">
        <v>8</v>
      </c>
      <c r="V32" s="2" t="inlineStr">
        <is>
          <t>Ask
Murgröna
Tvåblad
Blåsippa</t>
        </is>
      </c>
      <c r="W32">
        <f>HYPERLINK("https://klasma.github.io/Logging_0840/artfynd/A 54167-2024 artfynd.xlsx", "A 54167-2024")</f>
        <v/>
      </c>
      <c r="X32">
        <f>HYPERLINK("https://klasma.github.io/Logging_0840/kartor/A 54167-2024 karta.png", "A 54167-2024")</f>
        <v/>
      </c>
      <c r="Y32">
        <f>HYPERLINK("https://klasma.github.io/Logging_0840/kartor_geotiff/A 54167-2024 georefererad karta.tif", "A 54167-2024")</f>
        <v/>
      </c>
      <c r="AA32">
        <f>HYPERLINK("https://klasma.github.io/Logging_0840/klagomål/A 54167-2024 FSC-klagomål.docx", "A 54167-2024")</f>
        <v/>
      </c>
      <c r="AB32">
        <f>HYPERLINK("https://klasma.github.io/Logging_0840/klagomålsmail/A 54167-2024 FSC-klagomål mail.docx", "A 54167-2024")</f>
        <v/>
      </c>
      <c r="AC32">
        <f>HYPERLINK("https://klasma.github.io/Logging_0840/tillsyn/A 54167-2024 tillsynsbegäran.docx", "A 54167-2024")</f>
        <v/>
      </c>
      <c r="AD32">
        <f>HYPERLINK("https://klasma.github.io/Logging_0840/tillsynsmail/A 54167-2024 tillsynsbegäran mail.docx", "A 54167-2024")</f>
        <v/>
      </c>
    </row>
    <row r="33" ht="15" customHeight="1">
      <c r="A33" t="inlineStr">
        <is>
          <t>A 26440-2026</t>
        </is>
      </c>
      <c r="B33" t="inlineStr">
        <is>
          <t>avverkningsanmälan</t>
        </is>
      </c>
      <c r="C33" t="inlineStr">
        <is>
          <t>Avverkning för annat ändamål</t>
        </is>
      </c>
      <c r="D33" s="1" t="n">
        <v>46183</v>
      </c>
      <c r="E33" s="1" t="n">
        <v>46310</v>
      </c>
      <c r="F33" t="inlineStr">
        <is>
          <t>KALMAR LÄN</t>
        </is>
      </c>
      <c r="G33" t="inlineStr">
        <is>
          <t>MÖRBYLÅNGA</t>
        </is>
      </c>
      <c r="I33" t="n">
        <v>1.1</v>
      </c>
      <c r="J33" t="n">
        <v>1</v>
      </c>
      <c r="K33" t="n">
        <v>3</v>
      </c>
      <c r="L33" t="n">
        <v>1</v>
      </c>
      <c r="M33" t="n">
        <v>0</v>
      </c>
      <c r="N33" t="n">
        <v>0</v>
      </c>
      <c r="O33" t="n">
        <v>0</v>
      </c>
      <c r="P33" t="n">
        <v>0</v>
      </c>
      <c r="Q33" t="n">
        <v>1</v>
      </c>
      <c r="R33" t="n">
        <v>0</v>
      </c>
      <c r="S33" t="n">
        <v>4</v>
      </c>
      <c r="T33" t="n">
        <v>5</v>
      </c>
      <c r="U33" t="n">
        <v>0</v>
      </c>
      <c r="V33" s="2" t="inlineStr">
        <is>
          <t>Backstarr
Murgröna
Nästrot
Vätteros</t>
        </is>
      </c>
      <c r="W33">
        <f>HYPERLINK("https://klasma.github.io/Logging_0840/artfynd/A 26440-2026 artfynd.xlsx", "A 26440-2026")</f>
        <v/>
      </c>
      <c r="X33">
        <f>HYPERLINK("https://klasma.github.io/Logging_0840/kartor/A 26440-2026 karta.png", "A 26440-2026")</f>
        <v/>
      </c>
      <c r="Y33">
        <f>HYPERLINK("https://klasma.github.io/Logging_0840/kartor_geotiff/A 26440-2026 georefererad karta.tif", "A 26440-2026")</f>
        <v/>
      </c>
      <c r="AA33">
        <f>HYPERLINK("https://klasma.github.io/Logging_0840/klagomål/A 26440-2026 FSC-klagomål.docx", "A 26440-2026")</f>
        <v/>
      </c>
      <c r="AB33">
        <f>HYPERLINK("https://klasma.github.io/Logging_0840/klagomålsmail/A 26440-2026 FSC-klagomål mail.docx", "A 26440-2026")</f>
        <v/>
      </c>
      <c r="AC33">
        <f>HYPERLINK("https://klasma.github.io/Logging_0840/tillsyn/A 26440-2026 tillsynsbegäran.docx", "A 26440-2026")</f>
        <v/>
      </c>
      <c r="AD33">
        <f>HYPERLINK("https://klasma.github.io/Logging_0840/tillsynsmail/A 26440-2026 tillsynsbegäran mail.docx", "A 26440-2026")</f>
        <v/>
      </c>
    </row>
    <row r="34" ht="15" customHeight="1">
      <c r="A34" t="inlineStr">
        <is>
          <t>A 19459-2023</t>
        </is>
      </c>
      <c r="B34" t="inlineStr">
        <is>
          <t>avverkningsanmälan</t>
        </is>
      </c>
      <c r="C34" t="inlineStr">
        <is>
          <t>Avverkning för annat ändamål</t>
        </is>
      </c>
      <c r="D34" s="1" t="n">
        <v>45049</v>
      </c>
      <c r="E34" s="1" t="n">
        <v>46310</v>
      </c>
      <c r="F34" t="inlineStr">
        <is>
          <t>KALMAR LÄN</t>
        </is>
      </c>
      <c r="G34" t="inlineStr">
        <is>
          <t>MÖRBYLÅNGA</t>
        </is>
      </c>
      <c r="I34" t="n">
        <v>1.6</v>
      </c>
      <c r="J34" t="n">
        <v>0</v>
      </c>
      <c r="K34" t="n">
        <v>0</v>
      </c>
      <c r="L34" t="n">
        <v>4</v>
      </c>
      <c r="M34" t="n">
        <v>0</v>
      </c>
      <c r="N34" t="n">
        <v>0</v>
      </c>
      <c r="O34" t="n">
        <v>0</v>
      </c>
      <c r="P34" t="n">
        <v>0</v>
      </c>
      <c r="Q34" t="n">
        <v>4</v>
      </c>
      <c r="R34" t="n">
        <v>0</v>
      </c>
      <c r="S34" t="n">
        <v>4</v>
      </c>
      <c r="T34" t="n">
        <v>4</v>
      </c>
      <c r="U34" t="n">
        <v>4</v>
      </c>
      <c r="V34" s="2" t="inlineStr">
        <is>
          <t>Kavelhirs
Kösa
Luddvicker
Riddarsporre</t>
        </is>
      </c>
      <c r="W34">
        <f>HYPERLINK("https://klasma.github.io/Logging_0840/artfynd/A 19459-2023 artfynd.xlsx", "A 19459-2023")</f>
        <v/>
      </c>
      <c r="X34">
        <f>HYPERLINK("https://klasma.github.io/Logging_0840/kartor/A 19459-2023 karta.png", "A 19459-2023")</f>
        <v/>
      </c>
      <c r="Y34">
        <f>HYPERLINK("https://klasma.github.io/Logging_0840/kartor_geotiff/A 19459-2023 georefererad karta.tif", "A 19459-2023")</f>
        <v/>
      </c>
      <c r="AA34">
        <f>HYPERLINK("https://klasma.github.io/Logging_0840/klagomål/A 19459-2023 FSC-klagomål.docx", "A 19459-2023")</f>
        <v/>
      </c>
      <c r="AB34">
        <f>HYPERLINK("https://klasma.github.io/Logging_0840/klagomålsmail/A 19459-2023 FSC-klagomål mail.docx", "A 19459-2023")</f>
        <v/>
      </c>
      <c r="AC34">
        <f>HYPERLINK("https://klasma.github.io/Logging_0840/tillsyn/A 19459-2023 tillsynsbegäran.docx", "A 19459-2023")</f>
        <v/>
      </c>
      <c r="AD34">
        <f>HYPERLINK("https://klasma.github.io/Logging_0840/tillsynsmail/A 19459-2023 tillsynsbegäran mail.docx", "A 19459-2023")</f>
        <v/>
      </c>
    </row>
    <row r="35" ht="15" customHeight="1">
      <c r="A35" t="inlineStr">
        <is>
          <t>A 34431-2026</t>
        </is>
      </c>
      <c r="B35" t="inlineStr">
        <is>
          <t>avverkningsanmälan</t>
        </is>
      </c>
      <c r="C35" t="inlineStr">
        <is>
          <t>Avverkning för annat ändamål</t>
        </is>
      </c>
      <c r="D35" s="1" t="n">
        <v>46254</v>
      </c>
      <c r="E35" s="1" t="n">
        <v>46310</v>
      </c>
      <c r="F35" t="inlineStr">
        <is>
          <t>KALMAR LÄN</t>
        </is>
      </c>
      <c r="G35" t="inlineStr">
        <is>
          <t>MÖRBYLÅNGA</t>
        </is>
      </c>
      <c r="I35" t="n">
        <v>8.300000000000001</v>
      </c>
      <c r="J35" t="n">
        <v>2</v>
      </c>
      <c r="K35" t="n">
        <v>1</v>
      </c>
      <c r="L35" t="n">
        <v>3</v>
      </c>
      <c r="M35" t="n">
        <v>0</v>
      </c>
      <c r="N35" t="n">
        <v>0</v>
      </c>
      <c r="O35" t="n">
        <v>0</v>
      </c>
      <c r="P35" t="n">
        <v>0</v>
      </c>
      <c r="Q35" t="n">
        <v>3</v>
      </c>
      <c r="R35" t="n">
        <v>0</v>
      </c>
      <c r="S35" t="n">
        <v>4</v>
      </c>
      <c r="T35" t="n">
        <v>5</v>
      </c>
      <c r="U35" t="n">
        <v>1</v>
      </c>
      <c r="V35" s="2" t="inlineStr">
        <is>
          <t>Entita
Mindre hackspett
Sandtimotej
Murgröna</t>
        </is>
      </c>
      <c r="W35">
        <f>HYPERLINK("https://klasma.github.io/Logging_0840/artfynd/A 34431-2026 artfynd.xlsx", "A 34431-2026")</f>
        <v/>
      </c>
      <c r="X35">
        <f>HYPERLINK("https://klasma.github.io/Logging_0840/kartor/A 34431-2026 karta.png", "A 34431-2026")</f>
        <v/>
      </c>
      <c r="Y35">
        <f>HYPERLINK("https://klasma.github.io/Logging_0840/kartor_geotiff/A 34431-2026 georefererad karta.tif", "A 34431-2026")</f>
        <v/>
      </c>
      <c r="AA35">
        <f>HYPERLINK("https://klasma.github.io/Logging_0840/klagomål/A 34431-2026 FSC-klagomål.docx", "A 34431-2026")</f>
        <v/>
      </c>
      <c r="AB35">
        <f>HYPERLINK("https://klasma.github.io/Logging_0840/klagomålsmail/A 34431-2026 FSC-klagomål mail.docx", "A 34431-2026")</f>
        <v/>
      </c>
      <c r="AC35">
        <f>HYPERLINK("https://klasma.github.io/Logging_0840/tillsyn/A 34431-2026 tillsynsbegäran.docx", "A 34431-2026")</f>
        <v/>
      </c>
      <c r="AD35">
        <f>HYPERLINK("https://klasma.github.io/Logging_0840/tillsynsmail/A 34431-2026 tillsynsbegäran mail.docx", "A 34431-2026")</f>
        <v/>
      </c>
      <c r="AE35">
        <f>HYPERLINK("https://klasma.github.io/Logging_0840/fåglar/A 34431-2026 prioriterade fågelarter.docx", "A 34431-2026")</f>
        <v/>
      </c>
    </row>
    <row r="36" ht="15" customHeight="1">
      <c r="A36" t="inlineStr">
        <is>
          <t>A 43702-2025</t>
        </is>
      </c>
      <c r="B36" t="inlineStr">
        <is>
          <t>avverkningsanmälan</t>
        </is>
      </c>
      <c r="C36" t="inlineStr">
        <is>
          <t>Föryngringsavverkning</t>
        </is>
      </c>
      <c r="D36" s="1" t="n">
        <v>45912</v>
      </c>
      <c r="E36" s="1" t="n">
        <v>46310</v>
      </c>
      <c r="F36" t="inlineStr">
        <is>
          <t>KALMAR LÄN</t>
        </is>
      </c>
      <c r="G36" t="inlineStr">
        <is>
          <t>MÖRBYLÅNGA</t>
        </is>
      </c>
      <c r="I36" t="n">
        <v>2.6</v>
      </c>
      <c r="J36" t="n">
        <v>0</v>
      </c>
      <c r="K36" t="n">
        <v>2</v>
      </c>
      <c r="L36" t="n">
        <v>1</v>
      </c>
      <c r="M36" t="n">
        <v>0</v>
      </c>
      <c r="N36" t="n">
        <v>0</v>
      </c>
      <c r="O36" t="n">
        <v>0</v>
      </c>
      <c r="P36" t="n">
        <v>0</v>
      </c>
      <c r="Q36" t="n">
        <v>1</v>
      </c>
      <c r="R36" t="n">
        <v>0</v>
      </c>
      <c r="S36" t="n">
        <v>3</v>
      </c>
      <c r="T36" t="n">
        <v>3</v>
      </c>
      <c r="U36" t="n">
        <v>2</v>
      </c>
      <c r="V36" s="2" t="inlineStr">
        <is>
          <t>Sårläka
Murgröna
Tibast</t>
        </is>
      </c>
      <c r="W36">
        <f>HYPERLINK("https://klasma.github.io/Logging_0840/artfynd/A 43702-2025 artfynd.xlsx", "A 43702-2025")</f>
        <v/>
      </c>
      <c r="X36">
        <f>HYPERLINK("https://klasma.github.io/Logging_0840/kartor/A 43702-2025 karta.png", "A 43702-2025")</f>
        <v/>
      </c>
      <c r="Y36">
        <f>HYPERLINK("https://klasma.github.io/Logging_0840/kartor_geotiff/A 43702-2025 georefererad karta.tif", "A 43702-2025")</f>
        <v/>
      </c>
      <c r="AA36">
        <f>HYPERLINK("https://klasma.github.io/Logging_0840/klagomål/A 43702-2025 FSC-klagomål.docx", "A 43702-2025")</f>
        <v/>
      </c>
      <c r="AB36">
        <f>HYPERLINK("https://klasma.github.io/Logging_0840/klagomålsmail/A 43702-2025 FSC-klagomål mail.docx", "A 43702-2025")</f>
        <v/>
      </c>
      <c r="AC36">
        <f>HYPERLINK("https://klasma.github.io/Logging_0840/tillsyn/A 43702-2025 tillsynsbegäran.docx", "A 43702-2025")</f>
        <v/>
      </c>
      <c r="AD36">
        <f>HYPERLINK("https://klasma.github.io/Logging_0840/tillsynsmail/A 43702-2025 tillsynsbegäran mail.docx", "A 43702-2025")</f>
        <v/>
      </c>
    </row>
    <row r="37" ht="15" customHeight="1">
      <c r="A37" t="inlineStr">
        <is>
          <t>A 29360-2026</t>
        </is>
      </c>
      <c r="B37" t="inlineStr">
        <is>
          <t>avverkningsanmälan</t>
        </is>
      </c>
      <c r="C37" t="inlineStr">
        <is>
          <t>Avverkning för annat ändamål</t>
        </is>
      </c>
      <c r="D37" s="1" t="n">
        <v>46203</v>
      </c>
      <c r="E37" s="1" t="n">
        <v>46310</v>
      </c>
      <c r="F37" t="inlineStr">
        <is>
          <t>KALMAR LÄN</t>
        </is>
      </c>
      <c r="G37" t="inlineStr">
        <is>
          <t>MÖRBYLÅNGA</t>
        </is>
      </c>
      <c r="I37" t="n">
        <v>2.9</v>
      </c>
      <c r="J37" t="n">
        <v>1</v>
      </c>
      <c r="K37" t="n">
        <v>1</v>
      </c>
      <c r="L37" t="n">
        <v>1</v>
      </c>
      <c r="M37" t="n">
        <v>1</v>
      </c>
      <c r="N37" t="n">
        <v>0</v>
      </c>
      <c r="O37" t="n">
        <v>0</v>
      </c>
      <c r="P37" t="n">
        <v>0</v>
      </c>
      <c r="Q37" t="n">
        <v>2</v>
      </c>
      <c r="R37" t="n">
        <v>1</v>
      </c>
      <c r="S37" t="n">
        <v>3</v>
      </c>
      <c r="T37" t="n">
        <v>3</v>
      </c>
      <c r="U37" t="n">
        <v>1</v>
      </c>
      <c r="V37" s="2" t="inlineStr">
        <is>
          <t>Mindre blåvinge
Silversmygare
Ekoxe</t>
        </is>
      </c>
      <c r="W37">
        <f>HYPERLINK("https://klasma.github.io/Logging_0840/artfynd/A 29360-2026 artfynd.xlsx", "A 29360-2026")</f>
        <v/>
      </c>
      <c r="X37">
        <f>HYPERLINK("https://klasma.github.io/Logging_0840/kartor/A 29360-2026 karta.png", "A 29360-2026")</f>
        <v/>
      </c>
      <c r="Y37">
        <f>HYPERLINK("https://klasma.github.io/Logging_0840/kartor_geotiff/A 29360-2026 georefererad karta.tif", "A 29360-2026")</f>
        <v/>
      </c>
      <c r="AA37">
        <f>HYPERLINK("https://klasma.github.io/Logging_0840/klagomål/A 29360-2026 FSC-klagomål.docx", "A 29360-2026")</f>
        <v/>
      </c>
      <c r="AB37">
        <f>HYPERLINK("https://klasma.github.io/Logging_0840/klagomålsmail/A 29360-2026 FSC-klagomål mail.docx", "A 29360-2026")</f>
        <v/>
      </c>
      <c r="AC37">
        <f>HYPERLINK("https://klasma.github.io/Logging_0840/tillsyn/A 29360-2026 tillsynsbegäran.docx", "A 29360-2026")</f>
        <v/>
      </c>
      <c r="AD37">
        <f>HYPERLINK("https://klasma.github.io/Logging_0840/tillsynsmail/A 29360-2026 tillsynsbegäran mail.docx", "A 29360-2026")</f>
        <v/>
      </c>
    </row>
    <row r="38" ht="15" customHeight="1">
      <c r="A38" t="inlineStr">
        <is>
          <t>A 62231-2023</t>
        </is>
      </c>
      <c r="B38" t="inlineStr">
        <is>
          <t>avverkningsanmälan</t>
        </is>
      </c>
      <c r="C38" t="inlineStr">
        <is>
          <t>Avverkning för annat ändamål</t>
        </is>
      </c>
      <c r="D38" s="1" t="n">
        <v>45267</v>
      </c>
      <c r="E38" s="1" t="n">
        <v>46310</v>
      </c>
      <c r="F38" t="inlineStr">
        <is>
          <t>KALMAR LÄN</t>
        </is>
      </c>
      <c r="G38" t="inlineStr">
        <is>
          <t>MÖRBYLÅNGA</t>
        </is>
      </c>
      <c r="I38" t="n">
        <v>1.6</v>
      </c>
      <c r="J38" t="n">
        <v>1</v>
      </c>
      <c r="K38" t="n">
        <v>1</v>
      </c>
      <c r="L38" t="n">
        <v>0</v>
      </c>
      <c r="M38" t="n">
        <v>0</v>
      </c>
      <c r="N38" t="n">
        <v>0</v>
      </c>
      <c r="O38" t="n">
        <v>0</v>
      </c>
      <c r="P38" t="n">
        <v>0</v>
      </c>
      <c r="Q38" t="n">
        <v>0</v>
      </c>
      <c r="R38" t="n">
        <v>0</v>
      </c>
      <c r="S38" t="n">
        <v>2</v>
      </c>
      <c r="T38" t="n">
        <v>2</v>
      </c>
      <c r="U38" t="n">
        <v>2</v>
      </c>
      <c r="V38" s="2" t="inlineStr">
        <is>
          <t>Murgröna
Blåsippa</t>
        </is>
      </c>
      <c r="W38">
        <f>HYPERLINK("https://klasma.github.io/Logging_0840/artfynd/A 62231-2023 artfynd.xlsx", "A 62231-2023")</f>
        <v/>
      </c>
      <c r="X38">
        <f>HYPERLINK("https://klasma.github.io/Logging_0840/kartor/A 62231-2023 karta.png", "A 62231-2023")</f>
        <v/>
      </c>
      <c r="Y38">
        <f>HYPERLINK("https://klasma.github.io/Logging_0840/kartor_geotiff/A 62231-2023 georefererad karta.tif", "A 62231-2023")</f>
        <v/>
      </c>
      <c r="AA38">
        <f>HYPERLINK("https://klasma.github.io/Logging_0840/klagomål/A 62231-2023 FSC-klagomål.docx", "A 62231-2023")</f>
        <v/>
      </c>
      <c r="AB38">
        <f>HYPERLINK("https://klasma.github.io/Logging_0840/klagomålsmail/A 62231-2023 FSC-klagomål mail.docx", "A 62231-2023")</f>
        <v/>
      </c>
      <c r="AC38">
        <f>HYPERLINK("https://klasma.github.io/Logging_0840/tillsyn/A 62231-2023 tillsynsbegäran.docx", "A 62231-2023")</f>
        <v/>
      </c>
      <c r="AD38">
        <f>HYPERLINK("https://klasma.github.io/Logging_0840/tillsynsmail/A 62231-2023 tillsynsbegäran mail.docx", "A 62231-2023")</f>
        <v/>
      </c>
    </row>
    <row r="39" ht="15" customHeight="1">
      <c r="A39" t="inlineStr">
        <is>
          <t>A 72167-2021</t>
        </is>
      </c>
      <c r="B39" t="inlineStr">
        <is>
          <t>avverkningsanmälan</t>
        </is>
      </c>
      <c r="C39" t="inlineStr">
        <is>
          <t>Föryngringsavverkning</t>
        </is>
      </c>
      <c r="D39" s="1" t="n">
        <v>44544</v>
      </c>
      <c r="E39" s="1" t="n">
        <v>46310</v>
      </c>
      <c r="F39" t="inlineStr">
        <is>
          <t>KALMAR LÄN</t>
        </is>
      </c>
      <c r="G39" t="inlineStr">
        <is>
          <t>MÖRBYLÅNGA</t>
        </is>
      </c>
      <c r="I39" t="n">
        <v>3.5</v>
      </c>
      <c r="J39" t="n">
        <v>1</v>
      </c>
      <c r="K39" t="n">
        <v>1</v>
      </c>
      <c r="L39" t="n">
        <v>0</v>
      </c>
      <c r="M39" t="n">
        <v>0</v>
      </c>
      <c r="N39" t="n">
        <v>0</v>
      </c>
      <c r="O39" t="n">
        <v>0</v>
      </c>
      <c r="P39" t="n">
        <v>0</v>
      </c>
      <c r="Q39" t="n">
        <v>0</v>
      </c>
      <c r="R39" t="n">
        <v>0</v>
      </c>
      <c r="S39" t="n">
        <v>2</v>
      </c>
      <c r="T39" t="n">
        <v>2</v>
      </c>
      <c r="U39" t="n">
        <v>2</v>
      </c>
      <c r="V39" s="2" t="inlineStr">
        <is>
          <t>Murgröna
Röd glada</t>
        </is>
      </c>
      <c r="W39">
        <f>HYPERLINK("https://klasma.github.io/Logging_0840/artfynd/A 72167-2021 artfynd.xlsx", "A 72167-2021")</f>
        <v/>
      </c>
      <c r="X39">
        <f>HYPERLINK("https://klasma.github.io/Logging_0840/kartor/A 72167-2021 karta.png", "A 72167-2021")</f>
        <v/>
      </c>
      <c r="Y39">
        <f>HYPERLINK("https://klasma.github.io/Logging_0840/kartor_geotiff/A 72167-2021 georefererad karta.tif", "A 72167-2021")</f>
        <v/>
      </c>
      <c r="AA39">
        <f>HYPERLINK("https://klasma.github.io/Logging_0840/klagomål/A 72167-2021 FSC-klagomål.docx", "A 72167-2021")</f>
        <v/>
      </c>
      <c r="AB39">
        <f>HYPERLINK("https://klasma.github.io/Logging_0840/klagomålsmail/A 72167-2021 FSC-klagomål mail.docx", "A 72167-2021")</f>
        <v/>
      </c>
      <c r="AC39">
        <f>HYPERLINK("https://klasma.github.io/Logging_0840/tillsyn/A 72167-2021 tillsynsbegäran.docx", "A 72167-2021")</f>
        <v/>
      </c>
      <c r="AD39">
        <f>HYPERLINK("https://klasma.github.io/Logging_0840/tillsynsmail/A 72167-2021 tillsynsbegäran mail.docx", "A 72167-2021")</f>
        <v/>
      </c>
      <c r="AE39">
        <f>HYPERLINK("https://klasma.github.io/Logging_0840/fåglar/A 72167-2021 prioriterade fågelarter.docx", "A 72167-2021")</f>
        <v/>
      </c>
    </row>
    <row r="40" ht="15" customHeight="1">
      <c r="A40" t="inlineStr">
        <is>
          <t>S 2138-2026</t>
        </is>
      </c>
      <c r="B40" t="inlineStr">
        <is>
          <t>samrådsanmälan</t>
        </is>
      </c>
      <c r="C40" t="inlineStr">
        <is>
          <t>Annan skogsbruksåtgärd</t>
        </is>
      </c>
      <c r="D40" s="1" t="n">
        <v>46246</v>
      </c>
      <c r="E40" s="1" t="n">
        <v>46310</v>
      </c>
      <c r="F40" t="inlineStr">
        <is>
          <t>KALMAR LÄN</t>
        </is>
      </c>
      <c r="G40" t="inlineStr">
        <is>
          <t>MÖRBYLÅNGA</t>
        </is>
      </c>
      <c r="I40" t="n">
        <v>5.4</v>
      </c>
      <c r="J40" t="n">
        <v>1</v>
      </c>
      <c r="K40" t="n">
        <v>1</v>
      </c>
      <c r="L40" t="n">
        <v>0</v>
      </c>
      <c r="M40" t="n">
        <v>0</v>
      </c>
      <c r="N40" t="n">
        <v>1</v>
      </c>
      <c r="O40" t="n">
        <v>0</v>
      </c>
      <c r="P40" t="n">
        <v>0</v>
      </c>
      <c r="Q40" t="n">
        <v>1</v>
      </c>
      <c r="R40" t="n">
        <v>1</v>
      </c>
      <c r="S40" t="n">
        <v>2</v>
      </c>
      <c r="T40" t="n">
        <v>2</v>
      </c>
      <c r="U40" t="n">
        <v>0</v>
      </c>
      <c r="V40" s="2" t="inlineStr">
        <is>
          <t>Ask
Ekoxe</t>
        </is>
      </c>
      <c r="W40">
        <f>HYPERLINK("https://klasma.github.io/Logging_0840/artfynd/S 2138-2026 artfynd.xlsx", "S 2138-2026")</f>
        <v/>
      </c>
      <c r="X40">
        <f>HYPERLINK("https://klasma.github.io/Logging_0840/kartor/S 2138-2026 karta.png", "S 2138-2026")</f>
        <v/>
      </c>
      <c r="Y40">
        <f>HYPERLINK("https://klasma.github.io/Logging_0840/kartor_geotiff/S 2138-2026 georefererad karta.tif", "S 2138-2026")</f>
        <v/>
      </c>
      <c r="AA40">
        <f>HYPERLINK("https://klasma.github.io/Logging_0840/klagomål/S 2138-2026 FSC-klagomål.docx", "S 2138-2026")</f>
        <v/>
      </c>
      <c r="AB40">
        <f>HYPERLINK("https://klasma.github.io/Logging_0840/klagomålsmail/S 2138-2026 FSC-klagomål mail.docx", "S 2138-2026")</f>
        <v/>
      </c>
      <c r="AC40">
        <f>HYPERLINK("https://klasma.github.io/Logging_0840/tillsyn/S 2138-2026 tillsynsbegäran.docx", "S 2138-2026")</f>
        <v/>
      </c>
      <c r="AD40">
        <f>HYPERLINK("https://klasma.github.io/Logging_0840/tillsynsmail/S 2138-2026 tillsynsbegäran mail.docx", "S 2138-2026")</f>
        <v/>
      </c>
    </row>
    <row r="41" ht="15" customHeight="1">
      <c r="A41" t="inlineStr">
        <is>
          <t>A 24698-2023</t>
        </is>
      </c>
      <c r="B41" t="inlineStr">
        <is>
          <t>avverkningsanmälan</t>
        </is>
      </c>
      <c r="C41" t="inlineStr">
        <is>
          <t>Föryngringsavverkning</t>
        </is>
      </c>
      <c r="D41" s="1" t="n">
        <v>45084</v>
      </c>
      <c r="E41" s="1" t="n">
        <v>46310</v>
      </c>
      <c r="F41" t="inlineStr">
        <is>
          <t>KALMAR LÄN</t>
        </is>
      </c>
      <c r="G41" t="inlineStr">
        <is>
          <t>MÖRBYLÅNGA</t>
        </is>
      </c>
      <c r="I41" t="n">
        <v>5.5</v>
      </c>
      <c r="J41" t="n">
        <v>0</v>
      </c>
      <c r="K41" t="n">
        <v>0</v>
      </c>
      <c r="L41" t="n">
        <v>1</v>
      </c>
      <c r="M41" t="n">
        <v>0</v>
      </c>
      <c r="N41" t="n">
        <v>0</v>
      </c>
      <c r="O41" t="n">
        <v>0</v>
      </c>
      <c r="P41" t="n">
        <v>0</v>
      </c>
      <c r="Q41" t="n">
        <v>1</v>
      </c>
      <c r="R41" t="n">
        <v>0</v>
      </c>
      <c r="S41" t="n">
        <v>1</v>
      </c>
      <c r="T41" t="n">
        <v>1</v>
      </c>
      <c r="U41" t="n">
        <v>1</v>
      </c>
      <c r="V41" s="2" t="inlineStr">
        <is>
          <t>Sårläka</t>
        </is>
      </c>
      <c r="W41">
        <f>HYPERLINK("https://klasma.github.io/Logging_0840/artfynd/A 24698-2023 artfynd.xlsx", "A 24698-2023")</f>
        <v/>
      </c>
      <c r="X41">
        <f>HYPERLINK("https://klasma.github.io/Logging_0840/kartor/A 24698-2023 karta.png", "A 24698-2023")</f>
        <v/>
      </c>
      <c r="Y41">
        <f>HYPERLINK("https://klasma.github.io/Logging_0840/kartor_geotiff/A 24698-2023 georefererad karta.tif", "A 24698-2023")</f>
        <v/>
      </c>
      <c r="AA41">
        <f>HYPERLINK("https://klasma.github.io/Logging_0840/klagomål/A 24698-2023 FSC-klagomål.docx", "A 24698-2023")</f>
        <v/>
      </c>
      <c r="AB41">
        <f>HYPERLINK("https://klasma.github.io/Logging_0840/klagomålsmail/A 24698-2023 FSC-klagomål mail.docx", "A 24698-2023")</f>
        <v/>
      </c>
      <c r="AC41">
        <f>HYPERLINK("https://klasma.github.io/Logging_0840/tillsyn/A 24698-2023 tillsynsbegäran.docx", "A 24698-2023")</f>
        <v/>
      </c>
      <c r="AD41">
        <f>HYPERLINK("https://klasma.github.io/Logging_0840/tillsynsmail/A 24698-2023 tillsynsbegäran mail.docx", "A 24698-2023")</f>
        <v/>
      </c>
    </row>
    <row r="42" ht="15" customHeight="1">
      <c r="A42" t="inlineStr">
        <is>
          <t>A 62183-2025</t>
        </is>
      </c>
      <c r="B42" t="inlineStr">
        <is>
          <t>avverkningsanmälan</t>
        </is>
      </c>
      <c r="C42" t="inlineStr">
        <is>
          <t>Föryngringsavverkning</t>
        </is>
      </c>
      <c r="D42" s="1" t="n">
        <v>46006</v>
      </c>
      <c r="E42" s="1" t="n">
        <v>46310</v>
      </c>
      <c r="F42" t="inlineStr">
        <is>
          <t>KALMAR LÄN</t>
        </is>
      </c>
      <c r="G42" t="inlineStr">
        <is>
          <t>MÖRBYLÅNGA</t>
        </is>
      </c>
      <c r="I42" t="n">
        <v>0.8</v>
      </c>
      <c r="J42" t="n">
        <v>0</v>
      </c>
      <c r="K42" t="n">
        <v>0</v>
      </c>
      <c r="L42" t="n">
        <v>1</v>
      </c>
      <c r="M42" t="n">
        <v>0</v>
      </c>
      <c r="N42" t="n">
        <v>0</v>
      </c>
      <c r="O42" t="n">
        <v>0</v>
      </c>
      <c r="P42" t="n">
        <v>0</v>
      </c>
      <c r="Q42" t="n">
        <v>1</v>
      </c>
      <c r="R42" t="n">
        <v>0</v>
      </c>
      <c r="S42" t="n">
        <v>1</v>
      </c>
      <c r="T42" t="n">
        <v>1</v>
      </c>
      <c r="U42" t="n">
        <v>0</v>
      </c>
      <c r="V42" s="2" t="inlineStr">
        <is>
          <t>Kösa</t>
        </is>
      </c>
      <c r="W42">
        <f>HYPERLINK("https://klasma.github.io/Logging_0840/artfynd/A 62183-2025 artfynd.xlsx", "A 62183-2025")</f>
        <v/>
      </c>
      <c r="X42">
        <f>HYPERLINK("https://klasma.github.io/Logging_0840/kartor/A 62183-2025 karta.png", "A 62183-2025")</f>
        <v/>
      </c>
      <c r="Y42">
        <f>HYPERLINK("https://klasma.github.io/Logging_0840/kartor_geotiff/A 62183-2025 georefererad karta.tif", "A 62183-2025")</f>
        <v/>
      </c>
      <c r="AA42">
        <f>HYPERLINK("https://klasma.github.io/Logging_0840/klagomål/A 62183-2025 FSC-klagomål.docx", "A 62183-2025")</f>
        <v/>
      </c>
      <c r="AB42">
        <f>HYPERLINK("https://klasma.github.io/Logging_0840/klagomålsmail/A 62183-2025 FSC-klagomål mail.docx", "A 62183-2025")</f>
        <v/>
      </c>
      <c r="AC42">
        <f>HYPERLINK("https://klasma.github.io/Logging_0840/tillsyn/A 62183-2025 tillsynsbegäran.docx", "A 62183-2025")</f>
        <v/>
      </c>
      <c r="AD42">
        <f>HYPERLINK("https://klasma.github.io/Logging_0840/tillsynsmail/A 62183-2025 tillsynsbegäran mail.docx", "A 62183-2025")</f>
        <v/>
      </c>
    </row>
    <row r="43" ht="15" customHeight="1">
      <c r="A43" t="inlineStr">
        <is>
          <t>A 13040-2024</t>
        </is>
      </c>
      <c r="B43" t="inlineStr">
        <is>
          <t>avverkningsanmälan</t>
        </is>
      </c>
      <c r="C43" t="inlineStr">
        <is>
          <t>Avverkning för annat ändamål</t>
        </is>
      </c>
      <c r="D43" s="1" t="n">
        <v>45385</v>
      </c>
      <c r="E43" s="1" t="n">
        <v>46310</v>
      </c>
      <c r="F43" t="inlineStr">
        <is>
          <t>KALMAR LÄN</t>
        </is>
      </c>
      <c r="G43" t="inlineStr">
        <is>
          <t>MÖRBYLÅNGA</t>
        </is>
      </c>
      <c r="I43" t="n">
        <v>1.2</v>
      </c>
      <c r="J43" t="n">
        <v>0</v>
      </c>
      <c r="K43" t="n">
        <v>0</v>
      </c>
      <c r="L43" t="n">
        <v>0</v>
      </c>
      <c r="M43" t="n">
        <v>0</v>
      </c>
      <c r="N43" t="n">
        <v>1</v>
      </c>
      <c r="O43" t="n">
        <v>0</v>
      </c>
      <c r="P43" t="n">
        <v>0</v>
      </c>
      <c r="Q43" t="n">
        <v>1</v>
      </c>
      <c r="R43" t="n">
        <v>1</v>
      </c>
      <c r="S43" t="n">
        <v>1</v>
      </c>
      <c r="T43" t="n">
        <v>1</v>
      </c>
      <c r="U43" t="n">
        <v>1</v>
      </c>
      <c r="V43" s="2" t="inlineStr">
        <is>
          <t>Skogsalm</t>
        </is>
      </c>
      <c r="W43">
        <f>HYPERLINK("https://klasma.github.io/Logging_0840/artfynd/A 13040-2024 artfynd.xlsx", "A 13040-2024")</f>
        <v/>
      </c>
      <c r="X43">
        <f>HYPERLINK("https://klasma.github.io/Logging_0840/kartor/A 13040-2024 karta.png", "A 13040-2024")</f>
        <v/>
      </c>
      <c r="Y43">
        <f>HYPERLINK("https://klasma.github.io/Logging_0840/kartor_geotiff/A 13040-2024 georefererad karta.tif", "A 13040-2024")</f>
        <v/>
      </c>
      <c r="AA43">
        <f>HYPERLINK("https://klasma.github.io/Logging_0840/klagomål/A 13040-2024 FSC-klagomål.docx", "A 13040-2024")</f>
        <v/>
      </c>
      <c r="AB43">
        <f>HYPERLINK("https://klasma.github.io/Logging_0840/klagomålsmail/A 13040-2024 FSC-klagomål mail.docx", "A 13040-2024")</f>
        <v/>
      </c>
      <c r="AC43">
        <f>HYPERLINK("https://klasma.github.io/Logging_0840/tillsyn/A 13040-2024 tillsynsbegäran.docx", "A 13040-2024")</f>
        <v/>
      </c>
      <c r="AD43">
        <f>HYPERLINK("https://klasma.github.io/Logging_0840/tillsynsmail/A 13040-2024 tillsynsbegäran mail.docx", "A 13040-2024")</f>
        <v/>
      </c>
    </row>
    <row r="44" ht="15" customHeight="1">
      <c r="A44" t="inlineStr">
        <is>
          <t>A 13384-2023</t>
        </is>
      </c>
      <c r="B44" t="inlineStr">
        <is>
          <t>avverkningsanmälan</t>
        </is>
      </c>
      <c r="C44" t="inlineStr">
        <is>
          <t>Föryngringsavverkning</t>
        </is>
      </c>
      <c r="D44" s="1" t="n">
        <v>45005</v>
      </c>
      <c r="E44" s="1" t="n">
        <v>46310</v>
      </c>
      <c r="F44" t="inlineStr">
        <is>
          <t>KALMAR LÄN</t>
        </is>
      </c>
      <c r="G44" t="inlineStr">
        <is>
          <t>MÖRBYLÅNGA</t>
        </is>
      </c>
      <c r="I44" t="n">
        <v>0.9</v>
      </c>
      <c r="J44" t="n">
        <v>1</v>
      </c>
      <c r="K44" t="n">
        <v>0</v>
      </c>
      <c r="L44" t="n">
        <v>0</v>
      </c>
      <c r="M44" t="n">
        <v>0</v>
      </c>
      <c r="N44" t="n">
        <v>0</v>
      </c>
      <c r="O44" t="n">
        <v>0</v>
      </c>
      <c r="P44" t="n">
        <v>0</v>
      </c>
      <c r="Q44" t="n">
        <v>0</v>
      </c>
      <c r="R44" t="n">
        <v>0</v>
      </c>
      <c r="S44" t="n">
        <v>1</v>
      </c>
      <c r="T44" t="n">
        <v>1</v>
      </c>
      <c r="U44" t="n">
        <v>1</v>
      </c>
      <c r="V44" s="2" t="inlineStr">
        <is>
          <t>Blåsippa</t>
        </is>
      </c>
      <c r="W44">
        <f>HYPERLINK("https://klasma.github.io/Logging_0840/artfynd/A 13384-2023 artfynd.xlsx", "A 13384-2023")</f>
        <v/>
      </c>
      <c r="X44">
        <f>HYPERLINK("https://klasma.github.io/Logging_0840/kartor/A 13384-2023 karta.png", "A 13384-2023")</f>
        <v/>
      </c>
      <c r="Y44">
        <f>HYPERLINK("https://klasma.github.io/Logging_0840/kartor_geotiff/A 13384-2023 georefererad karta.tif", "A 13384-2023")</f>
        <v/>
      </c>
      <c r="AA44">
        <f>HYPERLINK("https://klasma.github.io/Logging_0840/klagomål/A 13384-2023 FSC-klagomål.docx", "A 13384-2023")</f>
        <v/>
      </c>
      <c r="AB44">
        <f>HYPERLINK("https://klasma.github.io/Logging_0840/klagomålsmail/A 13384-2023 FSC-klagomål mail.docx", "A 13384-2023")</f>
        <v/>
      </c>
      <c r="AC44">
        <f>HYPERLINK("https://klasma.github.io/Logging_0840/tillsyn/A 13384-2023 tillsynsbegäran.docx", "A 13384-2023")</f>
        <v/>
      </c>
      <c r="AD44">
        <f>HYPERLINK("https://klasma.github.io/Logging_0840/tillsynsmail/A 13384-2023 tillsynsbegäran mail.docx", "A 13384-2023")</f>
        <v/>
      </c>
    </row>
    <row r="45" ht="15" customHeight="1">
      <c r="A45" t="inlineStr">
        <is>
          <t>A 30492-2026</t>
        </is>
      </c>
      <c r="B45" t="inlineStr">
        <is>
          <t>avverkningsanmälan</t>
        </is>
      </c>
      <c r="C45" t="inlineStr">
        <is>
          <t>Avverkning för annat ändamål</t>
        </is>
      </c>
      <c r="D45" s="1" t="n">
        <v>46210</v>
      </c>
      <c r="E45" s="1" t="n">
        <v>46310</v>
      </c>
      <c r="F45" t="inlineStr">
        <is>
          <t>KALMAR LÄN</t>
        </is>
      </c>
      <c r="G45" t="inlineStr">
        <is>
          <t>MÖRBYLÅNGA</t>
        </is>
      </c>
      <c r="I45" t="n">
        <v>2</v>
      </c>
      <c r="J45" t="n">
        <v>0</v>
      </c>
      <c r="K45" t="n">
        <v>0</v>
      </c>
      <c r="L45" t="n">
        <v>1</v>
      </c>
      <c r="M45" t="n">
        <v>0</v>
      </c>
      <c r="N45" t="n">
        <v>0</v>
      </c>
      <c r="O45" t="n">
        <v>0</v>
      </c>
      <c r="P45" t="n">
        <v>0</v>
      </c>
      <c r="Q45" t="n">
        <v>1</v>
      </c>
      <c r="R45" t="n">
        <v>0</v>
      </c>
      <c r="S45" t="n">
        <v>1</v>
      </c>
      <c r="T45" t="n">
        <v>1</v>
      </c>
      <c r="U45" t="n">
        <v>0</v>
      </c>
      <c r="V45" s="2" t="inlineStr">
        <is>
          <t>Jordtistel</t>
        </is>
      </c>
      <c r="W45">
        <f>HYPERLINK("https://klasma.github.io/Logging_0840/artfynd/A 30492-2026 artfynd.xlsx", "A 30492-2026")</f>
        <v/>
      </c>
      <c r="X45">
        <f>HYPERLINK("https://klasma.github.io/Logging_0840/kartor/A 30492-2026 karta.png", "A 30492-2026")</f>
        <v/>
      </c>
      <c r="Y45">
        <f>HYPERLINK("https://klasma.github.io/Logging_0840/kartor_geotiff/A 30492-2026 georefererad karta.tif", "A 30492-2026")</f>
        <v/>
      </c>
      <c r="AA45">
        <f>HYPERLINK("https://klasma.github.io/Logging_0840/klagomål/A 30492-2026 FSC-klagomål.docx", "A 30492-2026")</f>
        <v/>
      </c>
      <c r="AB45">
        <f>HYPERLINK("https://klasma.github.io/Logging_0840/klagomålsmail/A 30492-2026 FSC-klagomål mail.docx", "A 30492-2026")</f>
        <v/>
      </c>
      <c r="AC45">
        <f>HYPERLINK("https://klasma.github.io/Logging_0840/tillsyn/A 30492-2026 tillsynsbegäran.docx", "A 30492-2026")</f>
        <v/>
      </c>
      <c r="AD45">
        <f>HYPERLINK("https://klasma.github.io/Logging_0840/tillsynsmail/A 30492-2026 tillsynsbegäran mail.docx", "A 30492-2026")</f>
        <v/>
      </c>
    </row>
    <row r="46" ht="15" customHeight="1">
      <c r="A46" t="inlineStr">
        <is>
          <t>A 36928-2026</t>
        </is>
      </c>
      <c r="B46" t="inlineStr">
        <is>
          <t>avverkningsanmälan</t>
        </is>
      </c>
      <c r="C46" t="inlineStr">
        <is>
          <t>Föryngringsavverkning</t>
        </is>
      </c>
      <c r="D46" s="1" t="n">
        <v>46273</v>
      </c>
      <c r="E46" s="1" t="n">
        <v>46310</v>
      </c>
      <c r="F46" t="inlineStr">
        <is>
          <t>KALMAR LÄN</t>
        </is>
      </c>
      <c r="G46" t="inlineStr">
        <is>
          <t>MÖRBYLÅNGA</t>
        </is>
      </c>
      <c r="I46" t="n">
        <v>1.3</v>
      </c>
      <c r="J46" t="n">
        <v>1</v>
      </c>
      <c r="K46" t="n">
        <v>1</v>
      </c>
      <c r="L46" t="n">
        <v>0</v>
      </c>
      <c r="M46" t="n">
        <v>0</v>
      </c>
      <c r="N46" t="n">
        <v>0</v>
      </c>
      <c r="O46" t="n">
        <v>0</v>
      </c>
      <c r="P46" t="n">
        <v>0</v>
      </c>
      <c r="Q46" t="n">
        <v>0</v>
      </c>
      <c r="R46" t="n">
        <v>0</v>
      </c>
      <c r="S46" t="n">
        <v>1</v>
      </c>
      <c r="T46" t="n">
        <v>1</v>
      </c>
      <c r="U46" t="n">
        <v>0</v>
      </c>
      <c r="V46" s="2" t="inlineStr">
        <is>
          <t>Tvåblad</t>
        </is>
      </c>
      <c r="W46">
        <f>HYPERLINK("https://klasma.github.io/Logging_0840/artfynd/A 36928-2026 artfynd.xlsx", "A 36928-2026")</f>
        <v/>
      </c>
      <c r="X46">
        <f>HYPERLINK("https://klasma.github.io/Logging_0840/kartor/A 36928-2026 karta.png", "A 36928-2026")</f>
        <v/>
      </c>
      <c r="Y46">
        <f>HYPERLINK("https://klasma.github.io/Logging_0840/kartor_geotiff/A 36928-2026 georefererad karta.tif", "A 36928-2026")</f>
        <v/>
      </c>
      <c r="AA46">
        <f>HYPERLINK("https://klasma.github.io/Logging_0840/klagomål/A 36928-2026 FSC-klagomål.docx", "A 36928-2026")</f>
        <v/>
      </c>
      <c r="AB46">
        <f>HYPERLINK("https://klasma.github.io/Logging_0840/klagomålsmail/A 36928-2026 FSC-klagomål mail.docx", "A 36928-2026")</f>
        <v/>
      </c>
      <c r="AC46">
        <f>HYPERLINK("https://klasma.github.io/Logging_0840/tillsyn/A 36928-2026 tillsynsbegäran.docx", "A 36928-2026")</f>
        <v/>
      </c>
      <c r="AD46">
        <f>HYPERLINK("https://klasma.github.io/Logging_0840/tillsynsmail/A 36928-2026 tillsynsbegäran mail.docx", "A 36928-2026")</f>
        <v/>
      </c>
    </row>
    <row r="47" ht="15" customHeight="1">
      <c r="A47" t="inlineStr">
        <is>
          <t>A 26876-2022</t>
        </is>
      </c>
      <c r="B47" t="inlineStr">
        <is>
          <t>avverkningsanmälan</t>
        </is>
      </c>
      <c r="C47" t="inlineStr">
        <is>
          <t>Avverkning för annat ändamål</t>
        </is>
      </c>
      <c r="D47" s="1" t="n">
        <v>44740</v>
      </c>
      <c r="E47" s="1" t="n">
        <v>46310</v>
      </c>
      <c r="F47" t="inlineStr">
        <is>
          <t>KALMAR LÄN</t>
        </is>
      </c>
      <c r="G47" t="inlineStr">
        <is>
          <t>MÖRBYLÅNGA</t>
        </is>
      </c>
      <c r="I47" t="n">
        <v>0.7</v>
      </c>
      <c r="J47" t="n">
        <v>0</v>
      </c>
      <c r="K47" t="n">
        <v>0</v>
      </c>
      <c r="L47" t="n">
        <v>0</v>
      </c>
      <c r="M47" t="n">
        <v>0</v>
      </c>
      <c r="N47" t="n">
        <v>0</v>
      </c>
      <c r="O47" t="n">
        <v>0</v>
      </c>
      <c r="P47" t="n">
        <v>0</v>
      </c>
      <c r="Q47" t="n">
        <v>0</v>
      </c>
      <c r="R47" t="n">
        <v>0</v>
      </c>
      <c r="S47" t="n">
        <v>0</v>
      </c>
      <c r="T47" t="n">
        <v>0</v>
      </c>
      <c r="U47" t="n">
        <v>0</v>
      </c>
      <c r="V47" s="2" t="inlineStr"/>
    </row>
    <row r="48" ht="15" customHeight="1">
      <c r="A48" t="inlineStr">
        <is>
          <t>A 57407-2025</t>
        </is>
      </c>
      <c r="B48" t="inlineStr">
        <is>
          <t>avverkningsanmälan</t>
        </is>
      </c>
      <c r="C48" t="inlineStr">
        <is>
          <t>Föryngringsavverkning</t>
        </is>
      </c>
      <c r="D48" s="1" t="n">
        <v>45980</v>
      </c>
      <c r="E48" s="1" t="n">
        <v>46310</v>
      </c>
      <c r="F48" t="inlineStr">
        <is>
          <t>KALMAR LÄN</t>
        </is>
      </c>
      <c r="G48" t="inlineStr">
        <is>
          <t>MÖRBYLÅNGA</t>
        </is>
      </c>
      <c r="I48" t="n">
        <v>0.8</v>
      </c>
      <c r="J48" t="n">
        <v>0</v>
      </c>
      <c r="K48" t="n">
        <v>0</v>
      </c>
      <c r="L48" t="n">
        <v>0</v>
      </c>
      <c r="M48" t="n">
        <v>0</v>
      </c>
      <c r="N48" t="n">
        <v>0</v>
      </c>
      <c r="O48" t="n">
        <v>0</v>
      </c>
      <c r="P48" t="n">
        <v>0</v>
      </c>
      <c r="Q48" t="n">
        <v>0</v>
      </c>
      <c r="R48" t="n">
        <v>0</v>
      </c>
      <c r="S48" t="n">
        <v>0</v>
      </c>
      <c r="T48" t="n">
        <v>0</v>
      </c>
      <c r="U48" t="n">
        <v>0</v>
      </c>
      <c r="V48" s="2" t="inlineStr"/>
    </row>
    <row r="49">
      <c r="A49" t="inlineStr">
        <is>
          <t>S 1602-2026</t>
        </is>
      </c>
      <c r="B49" t="inlineStr">
        <is>
          <t>samrådsanmälan</t>
        </is>
      </c>
      <c r="C49" t="inlineStr">
        <is>
          <t>Annan skogsbruksåtgärd</t>
        </is>
      </c>
      <c r="D49" s="1" t="n">
        <v>46171</v>
      </c>
      <c r="E49" s="1" t="n">
        <v>46310</v>
      </c>
      <c r="F49" t="inlineStr">
        <is>
          <t>KALMAR LÄN</t>
        </is>
      </c>
      <c r="G49" t="inlineStr">
        <is>
          <t>MÖRBYLÅNGA</t>
        </is>
      </c>
      <c r="I49" t="n">
        <v>2.1</v>
      </c>
      <c r="J49" t="n">
        <v>0</v>
      </c>
      <c r="K49" t="n">
        <v>0</v>
      </c>
      <c r="L49" t="n">
        <v>0</v>
      </c>
      <c r="M49" t="n">
        <v>0</v>
      </c>
      <c r="N49" t="n">
        <v>0</v>
      </c>
      <c r="O49" t="n">
        <v>0</v>
      </c>
      <c r="P49" t="n">
        <v>0</v>
      </c>
      <c r="Q49" t="n">
        <v>0</v>
      </c>
      <c r="R49" t="n">
        <v>0</v>
      </c>
      <c r="S49" t="n">
        <v>0</v>
      </c>
      <c r="T49" t="n">
        <v>0</v>
      </c>
      <c r="U49" t="n">
        <v>0</v>
      </c>
      <c r="V4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2026-10-15T02:02:35Z</dcterms:created>
  <dcterms:modified xmlns:dcterms="http://purl.org/dc/terms/" xmlns:xsi="http://www.w3.org/2001/XMLSchema-instance" xsi:type="dcterms:W3CDTF">2026-10-15T02:02:36Z</dcterms:modified>
</cp:coreProperties>
</file>