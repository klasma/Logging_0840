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46309</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46309</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46309</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46309</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46309</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46309</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46309</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46309</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46309</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46309</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46309</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46309</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46309</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46309</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46309</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46309</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46309</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46309</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A 15600-2025</t>
        </is>
      </c>
      <c r="B20" t="inlineStr">
        <is>
          <t>avverkningsanmälan</t>
        </is>
      </c>
      <c r="C20" t="inlineStr">
        <is>
          <t>Avverkning för annat ändamål</t>
        </is>
      </c>
      <c r="D20" s="1" t="n">
        <v>45747</v>
      </c>
      <c r="E20" s="1" t="n">
        <v>46309</v>
      </c>
      <c r="F20" t="inlineStr">
        <is>
          <t>KALMAR LÄN</t>
        </is>
      </c>
      <c r="G20" t="inlineStr">
        <is>
          <t>MÖRBYLÅNGA</t>
        </is>
      </c>
      <c r="I20" t="n">
        <v>1.1</v>
      </c>
      <c r="J20" t="n">
        <v>3</v>
      </c>
      <c r="K20" t="n">
        <v>4</v>
      </c>
      <c r="L20" t="n">
        <v>0</v>
      </c>
      <c r="M20" t="n">
        <v>0</v>
      </c>
      <c r="N20" t="n">
        <v>1</v>
      </c>
      <c r="O20" t="n">
        <v>0</v>
      </c>
      <c r="P20" t="n">
        <v>0</v>
      </c>
      <c r="Q20" t="n">
        <v>1</v>
      </c>
      <c r="R20" t="n">
        <v>1</v>
      </c>
      <c r="S20" t="n">
        <v>10</v>
      </c>
      <c r="T20" t="n">
        <v>20</v>
      </c>
      <c r="U20" t="n">
        <v>18</v>
      </c>
      <c r="V20" s="2" t="inlineStr">
        <is>
          <t>Ask
Kragjordstjärna
Murgröna
Scharlakansvårskål agg.
Tibast
Blåsippa
Skärmstarr
Spillkråka
Storrams
Röd glada</t>
        </is>
      </c>
      <c r="W20">
        <f>HYPERLINK("https://klasma.github.io/Logging_0840/artfynd/A 15600-2025 artfynd.xlsx", "A 15600-2025")</f>
        <v/>
      </c>
      <c r="X20">
        <f>HYPERLINK("https://klasma.github.io/Logging_0840/kartor/A 15600-2025 karta.png", "A 15600-2025")</f>
        <v/>
      </c>
      <c r="Y20">
        <f>HYPERLINK("https://klasma.github.io/Logging_0840/kartor_geotiff/A 15600-2025 georefererad karta.tif", "A 15600-2025")</f>
        <v/>
      </c>
      <c r="AA20">
        <f>HYPERLINK("https://klasma.github.io/Logging_0840/klagomål/A 15600-2025 FSC-klagomål.docx", "A 15600-2025")</f>
        <v/>
      </c>
      <c r="AB20">
        <f>HYPERLINK("https://klasma.github.io/Logging_0840/klagomålsmail/A 15600-2025 FSC-klagomål mail.docx", "A 15600-2025")</f>
        <v/>
      </c>
      <c r="AC20">
        <f>HYPERLINK("https://klasma.github.io/Logging_0840/tillsyn/A 15600-2025 tillsynsbegäran.docx", "A 15600-2025")</f>
        <v/>
      </c>
      <c r="AD20">
        <f>HYPERLINK("https://klasma.github.io/Logging_0840/tillsynsmail/A 15600-2025 tillsynsbegäran mail.docx", "A 15600-2025")</f>
        <v/>
      </c>
      <c r="AE20">
        <f>HYPERLINK("https://klasma.github.io/Logging_0840/fåglar/A 15600-2025 prioriterade fågelarter.docx", "A 15600-2025")</f>
        <v/>
      </c>
    </row>
    <row r="21" ht="15" customHeight="1">
      <c r="A21" t="inlineStr">
        <is>
          <t>S 1122-2022</t>
        </is>
      </c>
      <c r="B21" t="inlineStr">
        <is>
          <t>samrådsanmälan</t>
        </is>
      </c>
      <c r="C21" t="inlineStr">
        <is>
          <t>Annan skogsbruksåtgärd</t>
        </is>
      </c>
      <c r="D21" s="1" t="n">
        <v>44616</v>
      </c>
      <c r="E21" s="1" t="n">
        <v>46309</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46309</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46309</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46309</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46309</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46309</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46309</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46309</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46309</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46309</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46309</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46309</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46309</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46309</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46309</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46309</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46309</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46309</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46309</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46309</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46309</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24698-2023</t>
        </is>
      </c>
      <c r="B42" t="inlineStr">
        <is>
          <t>avverkningsanmälan</t>
        </is>
      </c>
      <c r="C42" t="inlineStr">
        <is>
          <t>Föryngringsavverkning</t>
        </is>
      </c>
      <c r="D42" s="1" t="n">
        <v>45084</v>
      </c>
      <c r="E42" s="1" t="n">
        <v>46309</v>
      </c>
      <c r="F42" t="inlineStr">
        <is>
          <t>KALMAR LÄN</t>
        </is>
      </c>
      <c r="G42" t="inlineStr">
        <is>
          <t>MÖRBYLÅNGA</t>
        </is>
      </c>
      <c r="I42" t="n">
        <v>5.5</v>
      </c>
      <c r="J42" t="n">
        <v>0</v>
      </c>
      <c r="K42" t="n">
        <v>0</v>
      </c>
      <c r="L42" t="n">
        <v>1</v>
      </c>
      <c r="M42" t="n">
        <v>0</v>
      </c>
      <c r="N42" t="n">
        <v>0</v>
      </c>
      <c r="O42" t="n">
        <v>0</v>
      </c>
      <c r="P42" t="n">
        <v>0</v>
      </c>
      <c r="Q42" t="n">
        <v>1</v>
      </c>
      <c r="R42" t="n">
        <v>0</v>
      </c>
      <c r="S42" t="n">
        <v>1</v>
      </c>
      <c r="T42" t="n">
        <v>1</v>
      </c>
      <c r="U42" t="n">
        <v>1</v>
      </c>
      <c r="V42" s="2" t="inlineStr">
        <is>
          <t>Sårläka</t>
        </is>
      </c>
      <c r="W42">
        <f>HYPERLINK("https://klasma.github.io/Logging_0840/artfynd/A 24698-2023 artfynd.xlsx", "A 24698-2023")</f>
        <v/>
      </c>
      <c r="X42">
        <f>HYPERLINK("https://klasma.github.io/Logging_0840/kartor/A 24698-2023 karta.png", "A 24698-2023")</f>
        <v/>
      </c>
      <c r="Y42">
        <f>HYPERLINK("https://klasma.github.io/Logging_0840/kartor_geotiff/A 24698-2023 georefererad karta.tif", "A 24698-2023")</f>
        <v/>
      </c>
      <c r="AA42">
        <f>HYPERLINK("https://klasma.github.io/Logging_0840/klagomål/A 24698-2023 FSC-klagomål.docx", "A 24698-2023")</f>
        <v/>
      </c>
      <c r="AB42">
        <f>HYPERLINK("https://klasma.github.io/Logging_0840/klagomålsmail/A 24698-2023 FSC-klagomål mail.docx", "A 24698-2023")</f>
        <v/>
      </c>
      <c r="AC42">
        <f>HYPERLINK("https://klasma.github.io/Logging_0840/tillsyn/A 24698-2023 tillsynsbegäran.docx", "A 24698-2023")</f>
        <v/>
      </c>
      <c r="AD42">
        <f>HYPERLINK("https://klasma.github.io/Logging_0840/tillsynsmail/A 24698-2023 tillsynsbegäran mail.docx", "A 24698-2023")</f>
        <v/>
      </c>
    </row>
    <row r="43" ht="15" customHeight="1">
      <c r="A43" t="inlineStr">
        <is>
          <t>A 13384-2023</t>
        </is>
      </c>
      <c r="B43" t="inlineStr">
        <is>
          <t>avverkningsanmälan</t>
        </is>
      </c>
      <c r="C43" t="inlineStr">
        <is>
          <t>Föryngringsavverkning</t>
        </is>
      </c>
      <c r="D43" s="1" t="n">
        <v>45005</v>
      </c>
      <c r="E43" s="1" t="n">
        <v>46309</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62183-2025</t>
        </is>
      </c>
      <c r="B44" t="inlineStr">
        <is>
          <t>avverkningsanmälan</t>
        </is>
      </c>
      <c r="C44" t="inlineStr">
        <is>
          <t>Föryngringsavverkning</t>
        </is>
      </c>
      <c r="D44" s="1" t="n">
        <v>46006</v>
      </c>
      <c r="E44" s="1" t="n">
        <v>46309</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46309</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46309</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46309</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46309</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46309</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2026-10-14T02:05:57Z</dcterms:created>
  <dcterms:modified xmlns:dcterms="http://purl.org/dc/terms/" xmlns:xsi="http://www.w3.org/2001/XMLSchema-instance" xsi:type="dcterms:W3CDTF">2026-10-14T02:05:57Z</dcterms:modified>
</cp:coreProperties>
</file>