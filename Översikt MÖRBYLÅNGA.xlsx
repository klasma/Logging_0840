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45587</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45587</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21214-2023</t>
        </is>
      </c>
      <c r="B6" s="1" t="n">
        <v>45062</v>
      </c>
      <c r="C6" s="1" t="n">
        <v>45587</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21219-2023</t>
        </is>
      </c>
      <c r="B7" s="1" t="n">
        <v>45062</v>
      </c>
      <c r="C7" s="1" t="n">
        <v>45587</v>
      </c>
      <c r="D7" t="inlineStr">
        <is>
          <t>KALMAR LÄN</t>
        </is>
      </c>
      <c r="E7" t="inlineStr">
        <is>
          <t>MÖRBYLÅNGA</t>
        </is>
      </c>
      <c r="G7" t="n">
        <v>3.6</v>
      </c>
      <c r="H7" t="n">
        <v>3</v>
      </c>
      <c r="I7" t="n">
        <v>5</v>
      </c>
      <c r="J7" t="n">
        <v>2</v>
      </c>
      <c r="K7" t="n">
        <v>1</v>
      </c>
      <c r="L7" t="n">
        <v>0</v>
      </c>
      <c r="M7" t="n">
        <v>0</v>
      </c>
      <c r="N7" t="n">
        <v>0</v>
      </c>
      <c r="O7" t="n">
        <v>3</v>
      </c>
      <c r="P7" t="n">
        <v>1</v>
      </c>
      <c r="Q7" t="n">
        <v>10</v>
      </c>
      <c r="R7" s="2" t="inlineStr">
        <is>
          <t>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59540-2023</t>
        </is>
      </c>
      <c r="B8" s="1" t="n">
        <v>45254</v>
      </c>
      <c r="C8" s="1" t="n">
        <v>45587</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47899-2019</t>
        </is>
      </c>
      <c r="B9" s="1" t="n">
        <v>43725</v>
      </c>
      <c r="C9" s="1" t="n">
        <v>45587</v>
      </c>
      <c r="D9" t="inlineStr">
        <is>
          <t>KALMAR LÄN</t>
        </is>
      </c>
      <c r="E9" t="inlineStr">
        <is>
          <t>MÖRBYLÅNGA</t>
        </is>
      </c>
      <c r="G9" t="n">
        <v>3.7</v>
      </c>
      <c r="H9" t="n">
        <v>2</v>
      </c>
      <c r="I9" t="n">
        <v>2</v>
      </c>
      <c r="J9" t="n">
        <v>3</v>
      </c>
      <c r="K9" t="n">
        <v>2</v>
      </c>
      <c r="L9" t="n">
        <v>0</v>
      </c>
      <c r="M9" t="n">
        <v>0</v>
      </c>
      <c r="N9" t="n">
        <v>0</v>
      </c>
      <c r="O9" t="n">
        <v>5</v>
      </c>
      <c r="P9" t="n">
        <v>2</v>
      </c>
      <c r="Q9" t="n">
        <v>8</v>
      </c>
      <c r="R9" s="2" t="inlineStr">
        <is>
          <t>Gulbrunt nejlikfly
Rödbent ögonbock
Ekträdlöpare
Hemicoelus fulvicornis
Mindre ekbock
Ekoxe
Murgröna
Blåsippa</t>
        </is>
      </c>
      <c r="S9">
        <f>HYPERLINK("https://klasma.github.io/Logging_0840/artfynd/A 47899-2019 artfynd.xlsx", "A 47899-2019")</f>
        <v/>
      </c>
      <c r="T9">
        <f>HYPERLINK("https://klasma.github.io/Logging_0840/kartor/A 47899-2019 karta.png", "A 47899-2019")</f>
        <v/>
      </c>
      <c r="V9">
        <f>HYPERLINK("https://klasma.github.io/Logging_0840/klagomål/A 47899-2019 FSC-klagomål.docx", "A 47899-2019")</f>
        <v/>
      </c>
      <c r="W9">
        <f>HYPERLINK("https://klasma.github.io/Logging_0840/klagomålsmail/A 47899-2019 FSC-klagomål mail.docx", "A 47899-2019")</f>
        <v/>
      </c>
      <c r="X9">
        <f>HYPERLINK("https://klasma.github.io/Logging_0840/tillsyn/A 47899-2019 tillsynsbegäran.docx", "A 47899-2019")</f>
        <v/>
      </c>
      <c r="Y9">
        <f>HYPERLINK("https://klasma.github.io/Logging_0840/tillsynsmail/A 47899-2019 tillsynsbegäran mail.docx", "A 47899-2019")</f>
        <v/>
      </c>
    </row>
    <row r="10" ht="15" customHeight="1">
      <c r="A10" t="inlineStr">
        <is>
          <t>A 8436-2021</t>
        </is>
      </c>
      <c r="B10" s="1" t="n">
        <v>44245</v>
      </c>
      <c r="C10" s="1" t="n">
        <v>45587</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11163-2021</t>
        </is>
      </c>
      <c r="B11" s="1" t="n">
        <v>44262</v>
      </c>
      <c r="C11" s="1" t="n">
        <v>45587</v>
      </c>
      <c r="D11" t="inlineStr">
        <is>
          <t>KALMAR LÄN</t>
        </is>
      </c>
      <c r="E11" t="inlineStr">
        <is>
          <t>MÖRBYLÅNGA</t>
        </is>
      </c>
      <c r="G11" t="n">
        <v>3.4</v>
      </c>
      <c r="H11" t="n">
        <v>1</v>
      </c>
      <c r="I11" t="n">
        <v>0</v>
      </c>
      <c r="J11" t="n">
        <v>5</v>
      </c>
      <c r="K11" t="n">
        <v>1</v>
      </c>
      <c r="L11" t="n">
        <v>0</v>
      </c>
      <c r="M11" t="n">
        <v>1</v>
      </c>
      <c r="N11" t="n">
        <v>0</v>
      </c>
      <c r="O11" t="n">
        <v>7</v>
      </c>
      <c r="P11" t="n">
        <v>2</v>
      </c>
      <c r="Q11" t="n">
        <v>7</v>
      </c>
      <c r="R11" s="2" t="inlineStr">
        <is>
          <t>Lundalm
Knippnejlika
Backklöver
Blyvivel
Edwardsiana plebeja
Edwardsiana ulmiphagus
Svart majbagge</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63779-2021</t>
        </is>
      </c>
      <c r="B12" s="1" t="n">
        <v>44508</v>
      </c>
      <c r="C12" s="1" t="n">
        <v>45587</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45587</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45587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45587</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45587</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45587</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45587</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45587</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45587</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9270-2020</t>
        </is>
      </c>
      <c r="B21" s="1" t="n">
        <v>43880</v>
      </c>
      <c r="C21" s="1" t="n">
        <v>45587</v>
      </c>
      <c r="D21" t="inlineStr">
        <is>
          <t>KALMAR LÄN</t>
        </is>
      </c>
      <c r="E21" t="inlineStr">
        <is>
          <t>MÖRBYLÅNGA</t>
        </is>
      </c>
      <c r="G21" t="n">
        <v>2.8</v>
      </c>
      <c r="H21" t="n">
        <v>1</v>
      </c>
      <c r="I21" t="n">
        <v>3</v>
      </c>
      <c r="J21" t="n">
        <v>0</v>
      </c>
      <c r="K21" t="n">
        <v>0</v>
      </c>
      <c r="L21" t="n">
        <v>0</v>
      </c>
      <c r="M21" t="n">
        <v>0</v>
      </c>
      <c r="N21" t="n">
        <v>0</v>
      </c>
      <c r="O21" t="n">
        <v>0</v>
      </c>
      <c r="P21" t="n">
        <v>0</v>
      </c>
      <c r="Q21" t="n">
        <v>3</v>
      </c>
      <c r="R21" s="2" t="inlineStr">
        <is>
          <t>Murgröna
Skogsknipprot
Strävlosta</t>
        </is>
      </c>
      <c r="S21">
        <f>HYPERLINK("https://klasma.github.io/Logging_0840/artfynd/A 9270-2020 artfynd.xlsx", "A 9270-2020")</f>
        <v/>
      </c>
      <c r="T21">
        <f>HYPERLINK("https://klasma.github.io/Logging_0840/kartor/A 9270-2020 karta.png", "A 9270-2020")</f>
        <v/>
      </c>
      <c r="V21">
        <f>HYPERLINK("https://klasma.github.io/Logging_0840/klagomål/A 9270-2020 FSC-klagomål.docx", "A 9270-2020")</f>
        <v/>
      </c>
      <c r="W21">
        <f>HYPERLINK("https://klasma.github.io/Logging_0840/klagomålsmail/A 9270-2020 FSC-klagomål mail.docx", "A 9270-2020")</f>
        <v/>
      </c>
      <c r="X21">
        <f>HYPERLINK("https://klasma.github.io/Logging_0840/tillsyn/A 9270-2020 tillsynsbegäran.docx", "A 9270-2020")</f>
        <v/>
      </c>
      <c r="Y21">
        <f>HYPERLINK("https://klasma.github.io/Logging_0840/tillsynsmail/A 9270-2020 tillsynsbegäran mail.docx", "A 9270-2020")</f>
        <v/>
      </c>
    </row>
    <row r="22" ht="15" customHeight="1">
      <c r="A22" t="inlineStr">
        <is>
          <t>A 57704-2020</t>
        </is>
      </c>
      <c r="B22" s="1" t="n">
        <v>44140</v>
      </c>
      <c r="C22" s="1" t="n">
        <v>45587</v>
      </c>
      <c r="D22" t="inlineStr">
        <is>
          <t>KALMAR LÄN</t>
        </is>
      </c>
      <c r="E22" t="inlineStr">
        <is>
          <t>MÖRBYLÅNGA</t>
        </is>
      </c>
      <c r="G22" t="n">
        <v>2.5</v>
      </c>
      <c r="H22" t="n">
        <v>0</v>
      </c>
      <c r="I22" t="n">
        <v>0</v>
      </c>
      <c r="J22" t="n">
        <v>3</v>
      </c>
      <c r="K22" t="n">
        <v>0</v>
      </c>
      <c r="L22" t="n">
        <v>0</v>
      </c>
      <c r="M22" t="n">
        <v>0</v>
      </c>
      <c r="N22" t="n">
        <v>0</v>
      </c>
      <c r="O22" t="n">
        <v>3</v>
      </c>
      <c r="P22" t="n">
        <v>0</v>
      </c>
      <c r="Q22" t="n">
        <v>3</v>
      </c>
      <c r="R22" s="2" t="inlineStr">
        <is>
          <t>Ekträdlöpare
Jordtistel
Vanlig sandviol</t>
        </is>
      </c>
      <c r="S22">
        <f>HYPERLINK("https://klasma.github.io/Logging_0840/artfynd/A 57704-2020 artfynd.xlsx", "A 57704-2020")</f>
        <v/>
      </c>
      <c r="T22">
        <f>HYPERLINK("https://klasma.github.io/Logging_0840/kartor/A 57704-2020 karta.png", "A 57704-2020")</f>
        <v/>
      </c>
      <c r="V22">
        <f>HYPERLINK("https://klasma.github.io/Logging_0840/klagomål/A 57704-2020 FSC-klagomål.docx", "A 57704-2020")</f>
        <v/>
      </c>
      <c r="W22">
        <f>HYPERLINK("https://klasma.github.io/Logging_0840/klagomålsmail/A 57704-2020 FSC-klagomål mail.docx", "A 57704-2020")</f>
        <v/>
      </c>
      <c r="X22">
        <f>HYPERLINK("https://klasma.github.io/Logging_0840/tillsyn/A 57704-2020 tillsynsbegäran.docx", "A 57704-2020")</f>
        <v/>
      </c>
      <c r="Y22">
        <f>HYPERLINK("https://klasma.github.io/Logging_0840/tillsynsmail/A 57704-2020 tillsynsbegäran mail.docx", "A 57704-2020")</f>
        <v/>
      </c>
    </row>
    <row r="23" ht="15" customHeight="1">
      <c r="A23" t="inlineStr">
        <is>
          <t>A 35242-2024</t>
        </is>
      </c>
      <c r="B23" s="1" t="n">
        <v>45530</v>
      </c>
      <c r="C23" s="1" t="n">
        <v>45587</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45587</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45587</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45587</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45587</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45587</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45587</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45587</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45587</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45587</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45587</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45587</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45587</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45587</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45587</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45587</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45587</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45587</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45587</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45587</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45587</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45587</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45587</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45587</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45587</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45587</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45587</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45587</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45587</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45587</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45587</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45587</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45587</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2024-10-22T13:06:10Z</dcterms:created>
  <dcterms:modified xmlns:dcterms="http://purl.org/dc/terms/" xmlns:xsi="http://www.w3.org/2001/XMLSchema-instance" xsi:type="dcterms:W3CDTF">2024-10-22T13:06:10Z</dcterms:modified>
</cp:coreProperties>
</file>