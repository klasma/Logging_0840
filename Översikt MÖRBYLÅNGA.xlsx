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46235</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46235</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46235</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46235</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46235</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46235</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46235</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46235</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46235</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46235</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46235</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46235</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46235</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46235</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46235</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46235</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46235</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46235</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46235</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46235</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46235</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46235</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46235</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46235</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46235</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46235</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46235</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46235</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46235</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19459-2023</t>
        </is>
      </c>
      <c r="B31" t="inlineStr">
        <is>
          <t>avverkningsanmälan</t>
        </is>
      </c>
      <c r="C31" t="inlineStr">
        <is>
          <t>Avverkning för annat ändamål</t>
        </is>
      </c>
      <c r="D31" s="1" t="n">
        <v>45049</v>
      </c>
      <c r="E31" s="1" t="n">
        <v>46235</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26440-2026</t>
        </is>
      </c>
      <c r="B32" t="inlineStr">
        <is>
          <t>avverkningsanmälan</t>
        </is>
      </c>
      <c r="C32" t="inlineStr">
        <is>
          <t>Avverkning för annat ändamål</t>
        </is>
      </c>
      <c r="D32" s="1" t="n">
        <v>46183</v>
      </c>
      <c r="E32" s="1" t="n">
        <v>46235</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54167-2024</t>
        </is>
      </c>
      <c r="B33" t="inlineStr">
        <is>
          <t>avverkningsanmälan</t>
        </is>
      </c>
      <c r="C33" t="inlineStr">
        <is>
          <t>Föryngringsavverkning</t>
        </is>
      </c>
      <c r="D33" s="1" t="n">
        <v>45616</v>
      </c>
      <c r="E33" s="1" t="n">
        <v>46235</v>
      </c>
      <c r="F33" t="inlineStr">
        <is>
          <t>KALMAR LÄN</t>
        </is>
      </c>
      <c r="G33" t="inlineStr">
        <is>
          <t>MÖRBYLÅNGA</t>
        </is>
      </c>
      <c r="I33" t="n">
        <v>1.5</v>
      </c>
      <c r="J33" t="n">
        <v>2</v>
      </c>
      <c r="K33" t="n">
        <v>2</v>
      </c>
      <c r="L33" t="n">
        <v>0</v>
      </c>
      <c r="M33" t="n">
        <v>0</v>
      </c>
      <c r="N33" t="n">
        <v>1</v>
      </c>
      <c r="O33" t="n">
        <v>0</v>
      </c>
      <c r="P33" t="n">
        <v>0</v>
      </c>
      <c r="Q33" t="n">
        <v>1</v>
      </c>
      <c r="R33" t="n">
        <v>1</v>
      </c>
      <c r="S33" t="n">
        <v>4</v>
      </c>
      <c r="T33" t="n">
        <v>8</v>
      </c>
      <c r="U33" t="n">
        <v>8</v>
      </c>
      <c r="V33" s="2" t="inlineStr">
        <is>
          <t>Ask
Murgröna
Tvåblad
Blåsippa</t>
        </is>
      </c>
      <c r="W33">
        <f>HYPERLINK("https://klasma.github.io/Logging_0840/artfynd/A 54167-2024 artfynd.xlsx", "A 54167-2024")</f>
        <v/>
      </c>
      <c r="X33">
        <f>HYPERLINK("https://klasma.github.io/Logging_0840/kartor/A 54167-2024 karta.png", "A 54167-2024")</f>
        <v/>
      </c>
      <c r="Y33">
        <f>HYPERLINK("https://klasma.github.io/Logging_0840/kartor_geotiff/A 54167-2024 georefererad karta.tif", "A 54167-2024")</f>
        <v/>
      </c>
      <c r="AA33">
        <f>HYPERLINK("https://klasma.github.io/Logging_0840/klagomål/A 54167-2024 FSC-klagomål.docx", "A 54167-2024")</f>
        <v/>
      </c>
      <c r="AB33">
        <f>HYPERLINK("https://klasma.github.io/Logging_0840/klagomålsmail/A 54167-2024 FSC-klagomål mail.docx", "A 54167-2024")</f>
        <v/>
      </c>
      <c r="AC33">
        <f>HYPERLINK("https://klasma.github.io/Logging_0840/tillsyn/A 54167-2024 tillsynsbegäran.docx", "A 54167-2024")</f>
        <v/>
      </c>
      <c r="AD33">
        <f>HYPERLINK("https://klasma.github.io/Logging_0840/tillsynsmail/A 54167-2024 tillsynsbegäran mail.docx", "A 54167-2024")</f>
        <v/>
      </c>
    </row>
    <row r="34" ht="15" customHeight="1">
      <c r="A34" t="inlineStr">
        <is>
          <t>A 51244-2021</t>
        </is>
      </c>
      <c r="B34" t="inlineStr">
        <is>
          <t>avverkningsanmälan</t>
        </is>
      </c>
      <c r="C34" t="inlineStr">
        <is>
          <t>Avverkning för att bevara och utveckla /försöksver</t>
        </is>
      </c>
      <c r="D34" s="1" t="n">
        <v>44460</v>
      </c>
      <c r="E34" s="1" t="n">
        <v>46235</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46235</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46235</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46235</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46235</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29360-2026</t>
        </is>
      </c>
      <c r="B39" t="inlineStr">
        <is>
          <t>avverkningsanmälan</t>
        </is>
      </c>
      <c r="C39" t="inlineStr">
        <is>
          <t>Avverkning för annat ändamål</t>
        </is>
      </c>
      <c r="D39" s="1" t="n">
        <v>46203</v>
      </c>
      <c r="E39" s="1" t="n">
        <v>46235</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62231-2023</t>
        </is>
      </c>
      <c r="B40" t="inlineStr">
        <is>
          <t>avverkningsanmälan</t>
        </is>
      </c>
      <c r="C40" t="inlineStr">
        <is>
          <t>Avverkning för annat ändamål</t>
        </is>
      </c>
      <c r="D40" s="1" t="n">
        <v>45267</v>
      </c>
      <c r="E40" s="1" t="n">
        <v>46235</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13384-2023</t>
        </is>
      </c>
      <c r="B41" t="inlineStr">
        <is>
          <t>avverkningsanmälan</t>
        </is>
      </c>
      <c r="C41" t="inlineStr">
        <is>
          <t>Föryngringsavverkning</t>
        </is>
      </c>
      <c r="D41" s="1" t="n">
        <v>45005</v>
      </c>
      <c r="E41" s="1" t="n">
        <v>46235</v>
      </c>
      <c r="F41" t="inlineStr">
        <is>
          <t>KALMAR LÄN</t>
        </is>
      </c>
      <c r="G41" t="inlineStr">
        <is>
          <t>MÖRBYLÅNGA</t>
        </is>
      </c>
      <c r="I41" t="n">
        <v>0.9</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HYPERLINK("https://klasma.github.io/Logging_0840/artfynd/A 13384-2023 artfynd.xlsx", "A 13384-2023")</f>
        <v/>
      </c>
      <c r="X41">
        <f>HYPERLINK("https://klasma.github.io/Logging_0840/kartor/A 13384-2023 karta.png", "A 13384-2023")</f>
        <v/>
      </c>
      <c r="Y41">
        <f>HYPERLINK("https://klasma.github.io/Logging_0840/kartor_geotiff/A 13384-2023 georefererad karta.tif", "A 13384-2023")</f>
        <v/>
      </c>
      <c r="AA41">
        <f>HYPERLINK("https://klasma.github.io/Logging_0840/klagomål/A 13384-2023 FSC-klagomål.docx", "A 13384-2023")</f>
        <v/>
      </c>
      <c r="AB41">
        <f>HYPERLINK("https://klasma.github.io/Logging_0840/klagomålsmail/A 13384-2023 FSC-klagomål mail.docx", "A 13384-2023")</f>
        <v/>
      </c>
      <c r="AC41">
        <f>HYPERLINK("https://klasma.github.io/Logging_0840/tillsyn/A 13384-2023 tillsynsbegäran.docx", "A 13384-2023")</f>
        <v/>
      </c>
      <c r="AD41">
        <f>HYPERLINK("https://klasma.github.io/Logging_0840/tillsynsmail/A 13384-2023 tillsynsbegäran mail.docx", "A 13384-2023")</f>
        <v/>
      </c>
    </row>
    <row r="42" ht="15" customHeight="1">
      <c r="A42" t="inlineStr">
        <is>
          <t>A 13040-2024</t>
        </is>
      </c>
      <c r="B42" t="inlineStr">
        <is>
          <t>avverkningsanmälan</t>
        </is>
      </c>
      <c r="C42" t="inlineStr">
        <is>
          <t>Avverkning för annat ändamål</t>
        </is>
      </c>
      <c r="D42" s="1" t="n">
        <v>45385</v>
      </c>
      <c r="E42" s="1" t="n">
        <v>46235</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62183-2025</t>
        </is>
      </c>
      <c r="B43" t="inlineStr">
        <is>
          <t>avverkningsanmälan</t>
        </is>
      </c>
      <c r="C43" t="inlineStr">
        <is>
          <t>Föryngringsavverkning</t>
        </is>
      </c>
      <c r="D43" s="1" t="n">
        <v>46006</v>
      </c>
      <c r="E43" s="1" t="n">
        <v>46235</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46235</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46235</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46235</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46235</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46235</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2026-08-01T01:52:06Z</dcterms:created>
  <dcterms:modified xmlns:dcterms="http://purl.org/dc/terms/" xmlns:xsi="http://www.w3.org/2001/XMLSchema-instance" xsi:type="dcterms:W3CDTF">2026-08-01T01:52:06Z</dcterms:modified>
</cp:coreProperties>
</file>