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45715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45715</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45715</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27865-2024</t>
        </is>
      </c>
      <c r="B5" s="1" t="n">
        <v>45475</v>
      </c>
      <c r="C5" s="1" t="n">
        <v>45715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11163-2021</t>
        </is>
      </c>
      <c r="B6" s="1" t="n">
        <v>44262</v>
      </c>
      <c r="C6" s="1" t="n">
        <v>45715</v>
      </c>
      <c r="D6" t="inlineStr">
        <is>
          <t>KALMAR LÄN</t>
        </is>
      </c>
      <c r="E6" t="inlineStr">
        <is>
          <t>MÖRBYLÅNGA</t>
        </is>
      </c>
      <c r="G6" t="n">
        <v>3.4</v>
      </c>
      <c r="H6" t="n">
        <v>1</v>
      </c>
      <c r="I6" t="n">
        <v>0</v>
      </c>
      <c r="J6" t="n">
        <v>10</v>
      </c>
      <c r="K6" t="n">
        <v>1</v>
      </c>
      <c r="L6" t="n">
        <v>1</v>
      </c>
      <c r="M6" t="n">
        <v>1</v>
      </c>
      <c r="N6" t="n">
        <v>0</v>
      </c>
      <c r="O6" t="n">
        <v>14</v>
      </c>
      <c r="P6" t="n">
        <v>3</v>
      </c>
      <c r="Q6" t="n">
        <v>14</v>
      </c>
      <c r="R6" s="2" t="inlineStr">
        <is>
          <t>Lundalm
Stumpvingeharkrank
Knippnejlika
Achalcus bimaculatus
Backklöver
Blyvivel
Edwardsiana plebeja
Edwardsiana ulmiphagus
Gulbakig trädstyltfluga
Hårig jordstjärna
Myopa hirsuta
Svart majbagge
Ängsvägstekel
Sciomyza testacea</t>
        </is>
      </c>
      <c r="S6">
        <f>HYPERLINK("https://klasma.github.io/Logging_0840/artfynd/A 11163-2021 artfynd.xlsx", "A 11163-2021")</f>
        <v/>
      </c>
      <c r="T6">
        <f>HYPERLINK("https://klasma.github.io/Logging_0840/kartor/A 11163-2021 karta.png", "A 11163-2021")</f>
        <v/>
      </c>
      <c r="V6">
        <f>HYPERLINK("https://klasma.github.io/Logging_0840/klagomål/A 11163-2021 FSC-klagomål.docx", "A 11163-2021")</f>
        <v/>
      </c>
      <c r="W6">
        <f>HYPERLINK("https://klasma.github.io/Logging_0840/klagomålsmail/A 11163-2021 FSC-klagomål mail.docx", "A 11163-2021")</f>
        <v/>
      </c>
      <c r="X6">
        <f>HYPERLINK("https://klasma.github.io/Logging_0840/tillsyn/A 11163-2021 tillsynsbegäran.docx", "A 11163-2021")</f>
        <v/>
      </c>
      <c r="Y6">
        <f>HYPERLINK("https://klasma.github.io/Logging_0840/tillsynsmail/A 11163-2021 tillsynsbegäran mail.docx", "A 11163-2021")</f>
        <v/>
      </c>
    </row>
    <row r="7" ht="15" customHeight="1">
      <c r="A7" t="inlineStr">
        <is>
          <t>A 21219-2023</t>
        </is>
      </c>
      <c r="B7" s="1" t="n">
        <v>45062</v>
      </c>
      <c r="C7" s="1" t="n">
        <v>45715</v>
      </c>
      <c r="D7" t="inlineStr">
        <is>
          <t>KALMAR LÄN</t>
        </is>
      </c>
      <c r="E7" t="inlineStr">
        <is>
          <t>MÖRBYLÅNGA</t>
        </is>
      </c>
      <c r="G7" t="n">
        <v>3.6</v>
      </c>
      <c r="H7" t="n">
        <v>3</v>
      </c>
      <c r="I7" t="n">
        <v>5</v>
      </c>
      <c r="J7" t="n">
        <v>2</v>
      </c>
      <c r="K7" t="n">
        <v>1</v>
      </c>
      <c r="L7" t="n">
        <v>1</v>
      </c>
      <c r="M7" t="n">
        <v>0</v>
      </c>
      <c r="N7" t="n">
        <v>0</v>
      </c>
      <c r="O7" t="n">
        <v>4</v>
      </c>
      <c r="P7" t="n">
        <v>2</v>
      </c>
      <c r="Q7" t="n">
        <v>11</v>
      </c>
      <c r="R7" s="2" t="inlineStr">
        <is>
          <t>Ask
Munkspindling
Olivbrun spindling
Spillkråka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45715</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45715</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45715</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45715</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45715</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45715</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45715</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45715</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45715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45715</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45715</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45715</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45715</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45715</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45715</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45715</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45715</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45715</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45715</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45715</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45715</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45715</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45715</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45715</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45715</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45715</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45715</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45715</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45715</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45715</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45715</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45715</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45715</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45715</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45715</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45715</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45715</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45715</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45715</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45715</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45715</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45715</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45715</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45715</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45715</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45715</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45715</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45715</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45715</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45715</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45715</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45715</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45715</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2025-02-27T16:31:30Z</dcterms:created>
  <dcterms:modified xmlns:dcterms="http://purl.org/dc/terms/" xmlns:xsi="http://www.w3.org/2001/XMLSchema-instance" xsi:type="dcterms:W3CDTF">2025-02-27T16:31:30Z</dcterms:modified>
</cp:coreProperties>
</file>