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46228</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72</v>
      </c>
      <c r="U2" t="n">
        <v>41</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46228</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46228</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46228</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46228</v>
      </c>
      <c r="F6" t="inlineStr">
        <is>
          <t>KALMAR LÄN</t>
        </is>
      </c>
      <c r="G6" t="inlineStr">
        <is>
          <t>MÖRBYLÅNGA</t>
        </is>
      </c>
      <c r="I6" t="n">
        <v>7.3</v>
      </c>
      <c r="J6" t="n">
        <v>10</v>
      </c>
      <c r="K6" t="n">
        <v>7</v>
      </c>
      <c r="L6" t="n">
        <v>18</v>
      </c>
      <c r="M6" t="n">
        <v>3</v>
      </c>
      <c r="N6" t="n">
        <v>2</v>
      </c>
      <c r="O6" t="n">
        <v>1</v>
      </c>
      <c r="P6" t="n">
        <v>0</v>
      </c>
      <c r="Q6" t="n">
        <v>24</v>
      </c>
      <c r="R6" t="n">
        <v>6</v>
      </c>
      <c r="S6" t="n">
        <v>36</v>
      </c>
      <c r="T6" t="n">
        <v>184</v>
      </c>
      <c r="U6" t="n">
        <v>144</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46228</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46228</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46228</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46228</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46228</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46228</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46228</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46228</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38039-2022</t>
        </is>
      </c>
      <c r="B15" t="inlineStr">
        <is>
          <t>avverkningsanmälan</t>
        </is>
      </c>
      <c r="C15" t="inlineStr">
        <is>
          <t>Avverkning för annat ändamål</t>
        </is>
      </c>
      <c r="D15" s="1" t="n">
        <v>44811</v>
      </c>
      <c r="E15" s="1" t="n">
        <v>46228</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46228</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46228</v>
      </c>
      <c r="F17" t="inlineStr">
        <is>
          <t>KALMAR LÄN</t>
        </is>
      </c>
      <c r="G17" t="inlineStr">
        <is>
          <t>MÖRBYLÅNGA</t>
        </is>
      </c>
      <c r="I17" t="n">
        <v>1</v>
      </c>
      <c r="J17" t="n">
        <v>1</v>
      </c>
      <c r="K17" t="n">
        <v>2</v>
      </c>
      <c r="L17" t="n">
        <v>7</v>
      </c>
      <c r="M17" t="n">
        <v>0</v>
      </c>
      <c r="N17" t="n">
        <v>1</v>
      </c>
      <c r="O17" t="n">
        <v>0</v>
      </c>
      <c r="P17" t="n">
        <v>0</v>
      </c>
      <c r="Q17" t="n">
        <v>8</v>
      </c>
      <c r="R17" t="n">
        <v>1</v>
      </c>
      <c r="S17" t="n">
        <v>11</v>
      </c>
      <c r="T17" t="n">
        <v>19</v>
      </c>
      <c r="U17" t="n">
        <v>19</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46228</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39320-2024</t>
        </is>
      </c>
      <c r="B19" t="inlineStr">
        <is>
          <t>avverkningsanmälan</t>
        </is>
      </c>
      <c r="C19" t="inlineStr">
        <is>
          <t>Avverkning för annat ändamål</t>
        </is>
      </c>
      <c r="D19" s="1" t="n">
        <v>45551</v>
      </c>
      <c r="E19" s="1" t="n">
        <v>46228</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46228</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46228</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46228</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46228</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46228</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46228</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46228</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46228</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46228</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2864-2026</t>
        </is>
      </c>
      <c r="B29" t="inlineStr">
        <is>
          <t>avverkningsanmälan</t>
        </is>
      </c>
      <c r="C29" t="inlineStr">
        <is>
          <t>Föryngringsavverkning</t>
        </is>
      </c>
      <c r="D29" s="1" t="n">
        <v>46038</v>
      </c>
      <c r="E29" s="1" t="n">
        <v>46228</v>
      </c>
      <c r="F29" t="inlineStr">
        <is>
          <t>KALMAR LÄN</t>
        </is>
      </c>
      <c r="G29" t="inlineStr">
        <is>
          <t>MÖRBYLÅNGA</t>
        </is>
      </c>
      <c r="I29" t="n">
        <v>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2864-2026 artfynd.xlsx", "A 2864-2026")</f>
        <v/>
      </c>
      <c r="X29">
        <f>HYPERLINK("https://klasma.github.io/Logging_0840/kartor/A 2864-2026 karta.png", "A 2864-2026")</f>
        <v/>
      </c>
      <c r="Y29">
        <f>HYPERLINK("https://klasma.github.io/Logging_0840/kartor_geotiff/A 2864-2026 georefererad karta.tif", "A 2864-2026")</f>
        <v/>
      </c>
      <c r="AA29">
        <f>HYPERLINK("https://klasma.github.io/Logging_0840/klagomål/A 2864-2026 FSC-klagomål.docx", "A 2864-2026")</f>
        <v/>
      </c>
      <c r="AB29">
        <f>HYPERLINK("https://klasma.github.io/Logging_0840/klagomålsmail/A 2864-2026 FSC-klagomål mail.docx", "A 2864-2026")</f>
        <v/>
      </c>
      <c r="AC29">
        <f>HYPERLINK("https://klasma.github.io/Logging_0840/tillsyn/A 2864-2026 tillsynsbegäran.docx", "A 2864-2026")</f>
        <v/>
      </c>
      <c r="AD29">
        <f>HYPERLINK("https://klasma.github.io/Logging_0840/tillsynsmail/A 2864-2026 tillsynsbegäran mail.docx", "A 2864-2026")</f>
        <v/>
      </c>
      <c r="AE29">
        <f>HYPERLINK("https://klasma.github.io/Logging_0840/fåglar/A 2864-2026 prioriterade fågelarter.docx", "A 2864-2026")</f>
        <v/>
      </c>
    </row>
    <row r="30" ht="15" customHeight="1">
      <c r="A30" t="inlineStr">
        <is>
          <t>A 61963-2025</t>
        </is>
      </c>
      <c r="B30" t="inlineStr">
        <is>
          <t>avverkningsanmälan</t>
        </is>
      </c>
      <c r="C30" t="inlineStr">
        <is>
          <t>Avverkning för annat ändamål</t>
        </is>
      </c>
      <c r="D30" s="1" t="n">
        <v>46003</v>
      </c>
      <c r="E30" s="1" t="n">
        <v>46228</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54167-2024</t>
        </is>
      </c>
      <c r="B31" t="inlineStr">
        <is>
          <t>avverkningsanmälan</t>
        </is>
      </c>
      <c r="C31" t="inlineStr">
        <is>
          <t>Föryngringsavverkning</t>
        </is>
      </c>
      <c r="D31" s="1" t="n">
        <v>45616</v>
      </c>
      <c r="E31" s="1" t="n">
        <v>46228</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46228</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46228</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46228</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46228</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46228</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54192-2021</t>
        </is>
      </c>
      <c r="B37" t="inlineStr">
        <is>
          <t>avverkningsanmälan</t>
        </is>
      </c>
      <c r="C37" t="inlineStr">
        <is>
          <t>Föryngringsavverkning</t>
        </is>
      </c>
      <c r="D37" s="1" t="n">
        <v>44470</v>
      </c>
      <c r="E37" s="1" t="n">
        <v>46228</v>
      </c>
      <c r="F37" t="inlineStr">
        <is>
          <t>KALMAR LÄN</t>
        </is>
      </c>
      <c r="G37" t="inlineStr">
        <is>
          <t>MÖRBYLÅNGA</t>
        </is>
      </c>
      <c r="I37" t="n">
        <v>1.5</v>
      </c>
      <c r="J37" t="n">
        <v>1</v>
      </c>
      <c r="K37" t="n">
        <v>0</v>
      </c>
      <c r="L37" t="n">
        <v>2</v>
      </c>
      <c r="M37" t="n">
        <v>0</v>
      </c>
      <c r="N37" t="n">
        <v>0</v>
      </c>
      <c r="O37" t="n">
        <v>0</v>
      </c>
      <c r="P37" t="n">
        <v>0</v>
      </c>
      <c r="Q37" t="n">
        <v>2</v>
      </c>
      <c r="R37" t="n">
        <v>0</v>
      </c>
      <c r="S37" t="n">
        <v>2</v>
      </c>
      <c r="T37" t="n">
        <v>2</v>
      </c>
      <c r="U37" t="n">
        <v>2</v>
      </c>
      <c r="V37" s="2" t="inlineStr">
        <is>
          <t>Ladusvala
Sminkrot</t>
        </is>
      </c>
      <c r="W37">
        <f>HYPERLINK("https://klasma.github.io/Logging_0840/artfynd/A 54192-2021 artfynd.xlsx", "A 54192-2021")</f>
        <v/>
      </c>
      <c r="X37">
        <f>HYPERLINK("https://klasma.github.io/Logging_0840/kartor/A 54192-2021 karta.png", "A 54192-2021")</f>
        <v/>
      </c>
      <c r="Y37">
        <f>HYPERLINK("https://klasma.github.io/Logging_0840/kartor_geotiff/A 54192-2021 georefererad karta.tif", "A 54192-2021")</f>
        <v/>
      </c>
      <c r="AA37">
        <f>HYPERLINK("https://klasma.github.io/Logging_0840/klagomål/A 54192-2021 FSC-klagomål.docx", "A 54192-2021")</f>
        <v/>
      </c>
      <c r="AB37">
        <f>HYPERLINK("https://klasma.github.io/Logging_0840/klagomålsmail/A 54192-2021 FSC-klagomål mail.docx", "A 54192-2021")</f>
        <v/>
      </c>
      <c r="AC37">
        <f>HYPERLINK("https://klasma.github.io/Logging_0840/tillsyn/A 54192-2021 tillsynsbegäran.docx", "A 54192-2021")</f>
        <v/>
      </c>
      <c r="AD37">
        <f>HYPERLINK("https://klasma.github.io/Logging_0840/tillsynsmail/A 54192-2021 tillsynsbegäran mail.docx", "A 54192-2021")</f>
        <v/>
      </c>
    </row>
    <row r="38" ht="15" customHeight="1">
      <c r="A38" t="inlineStr">
        <is>
          <t>A 62231-2023</t>
        </is>
      </c>
      <c r="B38" t="inlineStr">
        <is>
          <t>avverkningsanmälan</t>
        </is>
      </c>
      <c r="C38" t="inlineStr">
        <is>
          <t>Avverkning för annat ändamål</t>
        </is>
      </c>
      <c r="D38" s="1" t="n">
        <v>45267</v>
      </c>
      <c r="E38" s="1" t="n">
        <v>46228</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29360-2026</t>
        </is>
      </c>
      <c r="B39" t="inlineStr">
        <is>
          <t>avverkningsanmälan</t>
        </is>
      </c>
      <c r="C39" t="inlineStr">
        <is>
          <t>Avverkning för annat ändamål</t>
        </is>
      </c>
      <c r="D39" s="1" t="n">
        <v>46203</v>
      </c>
      <c r="E39" s="1" t="n">
        <v>46228</v>
      </c>
      <c r="F39" t="inlineStr">
        <is>
          <t>KALMAR LÄN</t>
        </is>
      </c>
      <c r="G39" t="inlineStr">
        <is>
          <t>MÖRBYLÅNGA</t>
        </is>
      </c>
      <c r="I39" t="n">
        <v>2.9</v>
      </c>
      <c r="J39" t="n">
        <v>0</v>
      </c>
      <c r="K39" t="n">
        <v>0</v>
      </c>
      <c r="L39" t="n">
        <v>1</v>
      </c>
      <c r="M39" t="n">
        <v>1</v>
      </c>
      <c r="N39" t="n">
        <v>0</v>
      </c>
      <c r="O39" t="n">
        <v>0</v>
      </c>
      <c r="P39" t="n">
        <v>0</v>
      </c>
      <c r="Q39" t="n">
        <v>2</v>
      </c>
      <c r="R39" t="n">
        <v>1</v>
      </c>
      <c r="S39" t="n">
        <v>2</v>
      </c>
      <c r="T39" t="n">
        <v>2</v>
      </c>
      <c r="U39" t="n">
        <v>0</v>
      </c>
      <c r="V39" s="2" t="inlineStr">
        <is>
          <t>Mindre blåvinge
Silversmygare</t>
        </is>
      </c>
      <c r="W39">
        <f>HYPERLINK("https://klasma.github.io/Logging_0840/artfynd/A 29360-2026 artfynd.xlsx", "A 29360-2026")</f>
        <v/>
      </c>
      <c r="X39">
        <f>HYPERLINK("https://klasma.github.io/Logging_0840/kartor/A 29360-2026 karta.png", "A 29360-2026")</f>
        <v/>
      </c>
      <c r="Y39">
        <f>HYPERLINK("https://klasma.github.io/Logging_0840/kartor_geotiff/A 29360-2026 georefererad karta.tif", "A 29360-2026")</f>
        <v/>
      </c>
      <c r="AA39">
        <f>HYPERLINK("https://klasma.github.io/Logging_0840/klagomål/A 29360-2026 FSC-klagomål.docx", "A 29360-2026")</f>
        <v/>
      </c>
      <c r="AB39">
        <f>HYPERLINK("https://klasma.github.io/Logging_0840/klagomålsmail/A 29360-2026 FSC-klagomål mail.docx", "A 29360-2026")</f>
        <v/>
      </c>
      <c r="AC39">
        <f>HYPERLINK("https://klasma.github.io/Logging_0840/tillsyn/A 29360-2026 tillsynsbegäran.docx", "A 29360-2026")</f>
        <v/>
      </c>
      <c r="AD39">
        <f>HYPERLINK("https://klasma.github.io/Logging_0840/tillsynsmail/A 29360-2026 tillsynsbegäran mail.docx", "A 29360-2026")</f>
        <v/>
      </c>
    </row>
    <row r="40" ht="15" customHeight="1">
      <c r="A40" t="inlineStr">
        <is>
          <t>A 72167-2021</t>
        </is>
      </c>
      <c r="B40" t="inlineStr">
        <is>
          <t>avverkningsanmälan</t>
        </is>
      </c>
      <c r="C40" t="inlineStr">
        <is>
          <t>Föryngringsavverkning</t>
        </is>
      </c>
      <c r="D40" s="1" t="n">
        <v>44544</v>
      </c>
      <c r="E40" s="1" t="n">
        <v>46228</v>
      </c>
      <c r="F40" t="inlineStr">
        <is>
          <t>KALMAR LÄN</t>
        </is>
      </c>
      <c r="G40" t="inlineStr">
        <is>
          <t>MÖRBYLÅNGA</t>
        </is>
      </c>
      <c r="I40" t="n">
        <v>3.5</v>
      </c>
      <c r="J40" t="n">
        <v>1</v>
      </c>
      <c r="K40" t="n">
        <v>1</v>
      </c>
      <c r="L40" t="n">
        <v>0</v>
      </c>
      <c r="M40" t="n">
        <v>0</v>
      </c>
      <c r="N40" t="n">
        <v>0</v>
      </c>
      <c r="O40" t="n">
        <v>0</v>
      </c>
      <c r="P40" t="n">
        <v>0</v>
      </c>
      <c r="Q40" t="n">
        <v>0</v>
      </c>
      <c r="R40" t="n">
        <v>0</v>
      </c>
      <c r="S40" t="n">
        <v>2</v>
      </c>
      <c r="T40" t="n">
        <v>2</v>
      </c>
      <c r="U40" t="n">
        <v>2</v>
      </c>
      <c r="V40" s="2" t="inlineStr">
        <is>
          <t>Murgröna
Röd glada</t>
        </is>
      </c>
      <c r="W40">
        <f>HYPERLINK("https://klasma.github.io/Logging_0840/artfynd/A 72167-2021 artfynd.xlsx", "A 72167-2021")</f>
        <v/>
      </c>
      <c r="X40">
        <f>HYPERLINK("https://klasma.github.io/Logging_0840/kartor/A 72167-2021 karta.png", "A 72167-2021")</f>
        <v/>
      </c>
      <c r="Y40">
        <f>HYPERLINK("https://klasma.github.io/Logging_0840/kartor_geotiff/A 72167-2021 georefererad karta.tif", "A 72167-2021")</f>
        <v/>
      </c>
      <c r="AA40">
        <f>HYPERLINK("https://klasma.github.io/Logging_0840/klagomål/A 72167-2021 FSC-klagomål.docx", "A 72167-2021")</f>
        <v/>
      </c>
      <c r="AB40">
        <f>HYPERLINK("https://klasma.github.io/Logging_0840/klagomålsmail/A 72167-2021 FSC-klagomål mail.docx", "A 72167-2021")</f>
        <v/>
      </c>
      <c r="AC40">
        <f>HYPERLINK("https://klasma.github.io/Logging_0840/tillsyn/A 72167-2021 tillsynsbegäran.docx", "A 72167-2021")</f>
        <v/>
      </c>
      <c r="AD40">
        <f>HYPERLINK("https://klasma.github.io/Logging_0840/tillsynsmail/A 72167-2021 tillsynsbegäran mail.docx", "A 72167-2021")</f>
        <v/>
      </c>
      <c r="AE40">
        <f>HYPERLINK("https://klasma.github.io/Logging_0840/fåglar/A 72167-2021 prioriterade fågelarter.docx", "A 72167-2021")</f>
        <v/>
      </c>
    </row>
    <row r="41" ht="15" customHeight="1">
      <c r="A41" t="inlineStr">
        <is>
          <t>A 13040-2024</t>
        </is>
      </c>
      <c r="B41" t="inlineStr">
        <is>
          <t>avverkningsanmälan</t>
        </is>
      </c>
      <c r="C41" t="inlineStr">
        <is>
          <t>Avverkning för annat ändamål</t>
        </is>
      </c>
      <c r="D41" s="1" t="n">
        <v>45385</v>
      </c>
      <c r="E41" s="1" t="n">
        <v>46228</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62183-2025</t>
        </is>
      </c>
      <c r="B42" t="inlineStr">
        <is>
          <t>avverkningsanmälan</t>
        </is>
      </c>
      <c r="C42" t="inlineStr">
        <is>
          <t>Föryngringsavverkning</t>
        </is>
      </c>
      <c r="D42" s="1" t="n">
        <v>46006</v>
      </c>
      <c r="E42" s="1" t="n">
        <v>46228</v>
      </c>
      <c r="F42" t="inlineStr">
        <is>
          <t>KALMAR LÄN</t>
        </is>
      </c>
      <c r="G42" t="inlineStr">
        <is>
          <t>MÖRBYLÅNGA</t>
        </is>
      </c>
      <c r="I42" t="n">
        <v>0.8</v>
      </c>
      <c r="J42" t="n">
        <v>0</v>
      </c>
      <c r="K42" t="n">
        <v>0</v>
      </c>
      <c r="L42" t="n">
        <v>1</v>
      </c>
      <c r="M42" t="n">
        <v>0</v>
      </c>
      <c r="N42" t="n">
        <v>0</v>
      </c>
      <c r="O42" t="n">
        <v>0</v>
      </c>
      <c r="P42" t="n">
        <v>0</v>
      </c>
      <c r="Q42" t="n">
        <v>1</v>
      </c>
      <c r="R42" t="n">
        <v>0</v>
      </c>
      <c r="S42" t="n">
        <v>1</v>
      </c>
      <c r="T42" t="n">
        <v>1</v>
      </c>
      <c r="U42" t="n">
        <v>0</v>
      </c>
      <c r="V42" s="2" t="inlineStr">
        <is>
          <t>Kösa</t>
        </is>
      </c>
      <c r="W42">
        <f>HYPERLINK("https://klasma.github.io/Logging_0840/artfynd/A 62183-2025 artfynd.xlsx", "A 62183-2025")</f>
        <v/>
      </c>
      <c r="X42">
        <f>HYPERLINK("https://klasma.github.io/Logging_0840/kartor/A 62183-2025 karta.png", "A 62183-2025")</f>
        <v/>
      </c>
      <c r="Y42">
        <f>HYPERLINK("https://klasma.github.io/Logging_0840/kartor_geotiff/A 62183-2025 georefererad karta.tif", "A 62183-2025")</f>
        <v/>
      </c>
      <c r="AA42">
        <f>HYPERLINK("https://klasma.github.io/Logging_0840/klagomål/A 62183-2025 FSC-klagomål.docx", "A 62183-2025")</f>
        <v/>
      </c>
      <c r="AB42">
        <f>HYPERLINK("https://klasma.github.io/Logging_0840/klagomålsmail/A 62183-2025 FSC-klagomål mail.docx", "A 62183-2025")</f>
        <v/>
      </c>
      <c r="AC42">
        <f>HYPERLINK("https://klasma.github.io/Logging_0840/tillsyn/A 62183-2025 tillsynsbegäran.docx", "A 62183-2025")</f>
        <v/>
      </c>
      <c r="AD42">
        <f>HYPERLINK("https://klasma.github.io/Logging_0840/tillsynsmail/A 62183-2025 tillsynsbegäran mail.docx", "A 62183-2025")</f>
        <v/>
      </c>
    </row>
    <row r="43" ht="15" customHeight="1">
      <c r="A43" t="inlineStr">
        <is>
          <t>A 13384-2023</t>
        </is>
      </c>
      <c r="B43" t="inlineStr">
        <is>
          <t>avverkningsanmälan</t>
        </is>
      </c>
      <c r="C43" t="inlineStr">
        <is>
          <t>Föryngringsavverkning</t>
        </is>
      </c>
      <c r="D43" s="1" t="n">
        <v>45005</v>
      </c>
      <c r="E43" s="1" t="n">
        <v>46228</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46228</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24698-2023</t>
        </is>
      </c>
      <c r="B45" t="inlineStr">
        <is>
          <t>avverkningsanmälan</t>
        </is>
      </c>
      <c r="C45" t="inlineStr">
        <is>
          <t>Föryngringsavverkning</t>
        </is>
      </c>
      <c r="D45" s="1" t="n">
        <v>45084</v>
      </c>
      <c r="E45" s="1" t="n">
        <v>46228</v>
      </c>
      <c r="F45" t="inlineStr">
        <is>
          <t>KALMAR LÄN</t>
        </is>
      </c>
      <c r="G45" t="inlineStr">
        <is>
          <t>MÖRBYLÅNGA</t>
        </is>
      </c>
      <c r="I45" t="n">
        <v>5.5</v>
      </c>
      <c r="J45" t="n">
        <v>0</v>
      </c>
      <c r="K45" t="n">
        <v>0</v>
      </c>
      <c r="L45" t="n">
        <v>1</v>
      </c>
      <c r="M45" t="n">
        <v>0</v>
      </c>
      <c r="N45" t="n">
        <v>0</v>
      </c>
      <c r="O45" t="n">
        <v>0</v>
      </c>
      <c r="P45" t="n">
        <v>0</v>
      </c>
      <c r="Q45" t="n">
        <v>1</v>
      </c>
      <c r="R45" t="n">
        <v>0</v>
      </c>
      <c r="S45" t="n">
        <v>1</v>
      </c>
      <c r="T45" t="n">
        <v>1</v>
      </c>
      <c r="U45" t="n">
        <v>1</v>
      </c>
      <c r="V45" s="2" t="inlineStr">
        <is>
          <t>Sårläka</t>
        </is>
      </c>
      <c r="W45">
        <f>HYPERLINK("https://klasma.github.io/Logging_0840/artfynd/A 24698-2023 artfynd.xlsx", "A 24698-2023")</f>
        <v/>
      </c>
      <c r="X45">
        <f>HYPERLINK("https://klasma.github.io/Logging_0840/kartor/A 24698-2023 karta.png", "A 24698-2023")</f>
        <v/>
      </c>
      <c r="Y45">
        <f>HYPERLINK("https://klasma.github.io/Logging_0840/kartor_geotiff/A 24698-2023 georefererad karta.tif", "A 24698-2023")</f>
        <v/>
      </c>
      <c r="AA45">
        <f>HYPERLINK("https://klasma.github.io/Logging_0840/klagomål/A 24698-2023 FSC-klagomål.docx", "A 24698-2023")</f>
        <v/>
      </c>
      <c r="AB45">
        <f>HYPERLINK("https://klasma.github.io/Logging_0840/klagomålsmail/A 24698-2023 FSC-klagomål mail.docx", "A 24698-2023")</f>
        <v/>
      </c>
      <c r="AC45">
        <f>HYPERLINK("https://klasma.github.io/Logging_0840/tillsyn/A 24698-2023 tillsynsbegäran.docx", "A 24698-2023")</f>
        <v/>
      </c>
      <c r="AD45">
        <f>HYPERLINK("https://klasma.github.io/Logging_0840/tillsynsmail/A 24698-2023 tillsynsbegäran mail.docx", "A 24698-2023")</f>
        <v/>
      </c>
    </row>
    <row r="46" ht="15" customHeight="1">
      <c r="A46" t="inlineStr">
        <is>
          <t>A 26876-2022</t>
        </is>
      </c>
      <c r="B46" t="inlineStr">
        <is>
          <t>avverkningsanmälan</t>
        </is>
      </c>
      <c r="C46" t="inlineStr">
        <is>
          <t>Avverkning för annat ändamål</t>
        </is>
      </c>
      <c r="D46" s="1" t="n">
        <v>44740</v>
      </c>
      <c r="E46" s="1" t="n">
        <v>46228</v>
      </c>
      <c r="F46" t="inlineStr">
        <is>
          <t>KALMAR LÄN</t>
        </is>
      </c>
      <c r="G46" t="inlineStr">
        <is>
          <t>MÖRBYLÅNGA</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57407-2025</t>
        </is>
      </c>
      <c r="B47" t="inlineStr">
        <is>
          <t>avverkningsanmälan</t>
        </is>
      </c>
      <c r="C47" t="inlineStr">
        <is>
          <t>Föryngringsavverkning</t>
        </is>
      </c>
      <c r="D47" s="1" t="n">
        <v>45980</v>
      </c>
      <c r="E47" s="1" t="n">
        <v>46228</v>
      </c>
      <c r="F47" t="inlineStr">
        <is>
          <t>KALMAR LÄN</t>
        </is>
      </c>
      <c r="G47" t="inlineStr">
        <is>
          <t>MÖRBYLÅNGA</t>
        </is>
      </c>
      <c r="I47" t="n">
        <v>0.8</v>
      </c>
      <c r="J47" t="n">
        <v>0</v>
      </c>
      <c r="K47" t="n">
        <v>0</v>
      </c>
      <c r="L47" t="n">
        <v>0</v>
      </c>
      <c r="M47" t="n">
        <v>0</v>
      </c>
      <c r="N47" t="n">
        <v>0</v>
      </c>
      <c r="O47" t="n">
        <v>0</v>
      </c>
      <c r="P47" t="n">
        <v>0</v>
      </c>
      <c r="Q47" t="n">
        <v>0</v>
      </c>
      <c r="R47" t="n">
        <v>0</v>
      </c>
      <c r="S47" t="n">
        <v>0</v>
      </c>
      <c r="T47" t="n">
        <v>0</v>
      </c>
      <c r="U47" t="n">
        <v>0</v>
      </c>
      <c r="V47" s="2" t="inlineStr"/>
    </row>
    <row r="48">
      <c r="A48" t="inlineStr">
        <is>
          <t>S 1602-2026</t>
        </is>
      </c>
      <c r="B48" t="inlineStr">
        <is>
          <t>samrådsanmälan</t>
        </is>
      </c>
      <c r="C48" t="inlineStr">
        <is>
          <t>Annan skogsbruksåtgärd</t>
        </is>
      </c>
      <c r="D48" s="1" t="n">
        <v>46171</v>
      </c>
      <c r="E48" s="1" t="n">
        <v>46228</v>
      </c>
      <c r="F48" t="inlineStr">
        <is>
          <t>KALMAR LÄN</t>
        </is>
      </c>
      <c r="G48" t="inlineStr">
        <is>
          <t>MÖRBYLÅNGA</t>
        </is>
      </c>
      <c r="I48" t="n">
        <v>2.1</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2026-07-25T01:53:09Z</dcterms:created>
  <dcterms:modified xmlns:dcterms="http://purl.org/dc/terms/" xmlns:xsi="http://www.w3.org/2001/XMLSchema-instance" xsi:type="dcterms:W3CDTF">2026-07-25T01:53:09Z</dcterms:modified>
</cp:coreProperties>
</file>