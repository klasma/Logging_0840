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45922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45922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45922</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45922</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45922</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45922</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45922</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45922</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45922</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45922</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45922</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38039-2022</t>
        </is>
      </c>
      <c r="B13" s="1" t="n">
        <v>44811</v>
      </c>
      <c r="C13" s="1" t="n">
        <v>45922</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27636-2023</t>
        </is>
      </c>
      <c r="B14" s="1" t="n">
        <v>45097</v>
      </c>
      <c r="C14" s="1" t="n">
        <v>45922</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43714-2025</t>
        </is>
      </c>
      <c r="B15" s="1" t="n">
        <v>45912.40814814815</v>
      </c>
      <c r="C15" s="1" t="n">
        <v>45922</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39320-2024</t>
        </is>
      </c>
      <c r="B16" s="1" t="n">
        <v>45551</v>
      </c>
      <c r="C16" s="1" t="n">
        <v>45922</v>
      </c>
      <c r="D16" t="inlineStr">
        <is>
          <t>KALMAR LÄN</t>
        </is>
      </c>
      <c r="E16" t="inlineStr">
        <is>
          <t>MÖRBYLÅNGA</t>
        </is>
      </c>
      <c r="G16" t="n">
        <v>3.3</v>
      </c>
      <c r="H16" t="n">
        <v>1</v>
      </c>
      <c r="I16" t="n">
        <v>2</v>
      </c>
      <c r="J16" t="n">
        <v>1</v>
      </c>
      <c r="K16" t="n">
        <v>1</v>
      </c>
      <c r="L16" t="n">
        <v>0</v>
      </c>
      <c r="M16" t="n">
        <v>0</v>
      </c>
      <c r="N16" t="n">
        <v>0</v>
      </c>
      <c r="O16" t="n">
        <v>2</v>
      </c>
      <c r="P16" t="n">
        <v>1</v>
      </c>
      <c r="Q16" t="n">
        <v>5</v>
      </c>
      <c r="R16" s="2" t="inlineStr">
        <is>
          <t>Toppjungfrulin
Korskovall
Underviol
Vårärt
Skogsduva</t>
        </is>
      </c>
      <c r="S16">
        <f>HYPERLINK("https://klasma.github.io/Logging_0840/artfynd/A 39320-2024 artfynd.xlsx", "A 39320-2024")</f>
        <v/>
      </c>
      <c r="T16">
        <f>HYPERLINK("https://klasma.github.io/Logging_0840/kartor/A 39320-2024 karta.png", "A 39320-2024")</f>
        <v/>
      </c>
      <c r="V16">
        <f>HYPERLINK("https://klasma.github.io/Logging_0840/klagomål/A 39320-2024 FSC-klagomål.docx", "A 39320-2024")</f>
        <v/>
      </c>
      <c r="W16">
        <f>HYPERLINK("https://klasma.github.io/Logging_0840/klagomålsmail/A 39320-2024 FSC-klagomål mail.docx", "A 39320-2024")</f>
        <v/>
      </c>
      <c r="X16">
        <f>HYPERLINK("https://klasma.github.io/Logging_0840/tillsyn/A 39320-2024 tillsynsbegäran.docx", "A 39320-2024")</f>
        <v/>
      </c>
      <c r="Y16">
        <f>HYPERLINK("https://klasma.github.io/Logging_0840/tillsynsmail/A 39320-2024 tillsynsbegäran mail.docx", "A 39320-2024")</f>
        <v/>
      </c>
      <c r="Z16">
        <f>HYPERLINK("https://klasma.github.io/Logging_0840/fåglar/A 39320-2024 prioriterade fågelarter.docx", "A 39320-2024")</f>
        <v/>
      </c>
    </row>
    <row r="17" ht="15" customHeight="1">
      <c r="A17" t="inlineStr">
        <is>
          <t>A 61854-2020</t>
        </is>
      </c>
      <c r="B17" s="1" t="n">
        <v>44155</v>
      </c>
      <c r="C17" s="1" t="n">
        <v>45922</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45922</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52906-2021</t>
        </is>
      </c>
      <c r="B19" s="1" t="n">
        <v>44467</v>
      </c>
      <c r="C19" s="1" t="n">
        <v>45922</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57704-2020</t>
        </is>
      </c>
      <c r="B20" s="1" t="n">
        <v>44140</v>
      </c>
      <c r="C20" s="1" t="n">
        <v>45922</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35242-2024</t>
        </is>
      </c>
      <c r="B21" s="1" t="n">
        <v>45530.55440972222</v>
      </c>
      <c r="C21" s="1" t="n">
        <v>45922</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40361-2023</t>
        </is>
      </c>
      <c r="B22" s="1" t="n">
        <v>45169</v>
      </c>
      <c r="C22" s="1" t="n">
        <v>45922</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45922</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15600-2025</t>
        </is>
      </c>
      <c r="B24" s="1" t="n">
        <v>45747</v>
      </c>
      <c r="C24" s="1" t="n">
        <v>45922</v>
      </c>
      <c r="D24" t="inlineStr">
        <is>
          <t>KALMAR LÄN</t>
        </is>
      </c>
      <c r="E24" t="inlineStr">
        <is>
          <t>MÖRBYLÅNGA</t>
        </is>
      </c>
      <c r="G24" t="n">
        <v>1.1</v>
      </c>
      <c r="H24" t="n">
        <v>0</v>
      </c>
      <c r="I24" t="n">
        <v>2</v>
      </c>
      <c r="J24" t="n">
        <v>0</v>
      </c>
      <c r="K24" t="n">
        <v>0</v>
      </c>
      <c r="L24" t="n">
        <v>0</v>
      </c>
      <c r="M24" t="n">
        <v>0</v>
      </c>
      <c r="N24" t="n">
        <v>0</v>
      </c>
      <c r="O24" t="n">
        <v>0</v>
      </c>
      <c r="P24" t="n">
        <v>0</v>
      </c>
      <c r="Q24" t="n">
        <v>2</v>
      </c>
      <c r="R24" s="2" t="inlineStr">
        <is>
          <t>Murgröna
Scharlakansvårskål agg.</t>
        </is>
      </c>
      <c r="S24">
        <f>HYPERLINK("https://klasma.github.io/Logging_0840/artfynd/A 15600-2025 artfynd.xlsx", "A 15600-2025")</f>
        <v/>
      </c>
      <c r="T24">
        <f>HYPERLINK("https://klasma.github.io/Logging_0840/kartor/A 15600-2025 karta.png", "A 15600-2025")</f>
        <v/>
      </c>
      <c r="V24">
        <f>HYPERLINK("https://klasma.github.io/Logging_0840/klagomål/A 15600-2025 FSC-klagomål.docx", "A 15600-2025")</f>
        <v/>
      </c>
      <c r="W24">
        <f>HYPERLINK("https://klasma.github.io/Logging_0840/klagomålsmail/A 15600-2025 FSC-klagomål mail.docx", "A 15600-2025")</f>
        <v/>
      </c>
      <c r="X24">
        <f>HYPERLINK("https://klasma.github.io/Logging_0840/tillsyn/A 15600-2025 tillsynsbegäran.docx", "A 15600-2025")</f>
        <v/>
      </c>
      <c r="Y24">
        <f>HYPERLINK("https://klasma.github.io/Logging_0840/tillsynsmail/A 15600-2025 tillsynsbegäran mail.docx", "A 15600-2025")</f>
        <v/>
      </c>
    </row>
    <row r="25" ht="15" customHeight="1">
      <c r="A25" t="inlineStr">
        <is>
          <t>A 54192-2021</t>
        </is>
      </c>
      <c r="B25" s="1" t="n">
        <v>44470</v>
      </c>
      <c r="C25" s="1" t="n">
        <v>45922</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45922</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45922</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45922</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43702-2025</t>
        </is>
      </c>
      <c r="B29" s="1" t="n">
        <v>45912.40270833333</v>
      </c>
      <c r="C29" s="1" t="n">
        <v>45922</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Sårläka</t>
        </is>
      </c>
      <c r="S29">
        <f>HYPERLINK("https://klasma.github.io/Logging_0840/artfynd/A 43702-2025 artfynd.xlsx", "A 43702-2025")</f>
        <v/>
      </c>
      <c r="T29">
        <f>HYPERLINK("https://klasma.github.io/Logging_0840/kartor/A 43702-2025 karta.png", "A 43702-2025")</f>
        <v/>
      </c>
      <c r="V29">
        <f>HYPERLINK("https://klasma.github.io/Logging_0840/klagomål/A 43702-2025 FSC-klagomål.docx", "A 43702-2025")</f>
        <v/>
      </c>
      <c r="W29">
        <f>HYPERLINK("https://klasma.github.io/Logging_0840/klagomålsmail/A 43702-2025 FSC-klagomål mail.docx", "A 43702-2025")</f>
        <v/>
      </c>
      <c r="X29">
        <f>HYPERLINK("https://klasma.github.io/Logging_0840/tillsyn/A 43702-2025 tillsynsbegäran.docx", "A 43702-2025")</f>
        <v/>
      </c>
      <c r="Y29">
        <f>HYPERLINK("https://klasma.github.io/Logging_0840/tillsynsmail/A 43702-2025 tillsynsbegäran mail.docx", "A 43702-2025")</f>
        <v/>
      </c>
    </row>
    <row r="30" ht="15" customHeight="1">
      <c r="A30" t="inlineStr">
        <is>
          <t>A 26876-2022</t>
        </is>
      </c>
      <c r="B30" s="1" t="n">
        <v>44740</v>
      </c>
      <c r="C30" s="1" t="n">
        <v>45922</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61865-2020</t>
        </is>
      </c>
      <c r="B31" s="1" t="n">
        <v>44155</v>
      </c>
      <c r="C31" s="1" t="n">
        <v>45922</v>
      </c>
      <c r="D31" t="inlineStr">
        <is>
          <t>KALMAR LÄN</t>
        </is>
      </c>
      <c r="E31" t="inlineStr">
        <is>
          <t>MÖRBYLÅNGA</t>
        </is>
      </c>
      <c r="G31" t="n">
        <v>5</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45922</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72167-2021</t>
        </is>
      </c>
      <c r="B33" s="1" t="n">
        <v>44544</v>
      </c>
      <c r="C33" s="1" t="n">
        <v>45922</v>
      </c>
      <c r="D33" t="inlineStr">
        <is>
          <t>KALMAR LÄN</t>
        </is>
      </c>
      <c r="E33" t="inlineStr">
        <is>
          <t>MÖRBYLÅNGA</t>
        </is>
      </c>
      <c r="G33" t="n">
        <v>3.5</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45922</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45922</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43704-2025</t>
        </is>
      </c>
      <c r="B36" s="1" t="n">
        <v>45912.40490740741</v>
      </c>
      <c r="C36" s="1" t="n">
        <v>45922</v>
      </c>
      <c r="D36" t="inlineStr">
        <is>
          <t>KALMAR LÄN</t>
        </is>
      </c>
      <c r="E36" t="inlineStr">
        <is>
          <t>MÖRBYLÅNGA</t>
        </is>
      </c>
      <c r="G36" t="n">
        <v>2.7</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2025-09-22T20:27:50Z</dcterms:created>
  <dcterms:modified xmlns:dcterms="http://purl.org/dc/terms/" xmlns:xsi="http://www.w3.org/2001/XMLSchema-instance" xsi:type="dcterms:W3CDTF">2025-09-22T20:27:50Z</dcterms:modified>
</cp:coreProperties>
</file>