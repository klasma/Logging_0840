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46030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46030</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46030</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46030</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46030</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46030</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46030</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46030</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46030</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46030</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46030</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46030</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43714-2025</t>
        </is>
      </c>
      <c r="B14" s="1" t="n">
        <v>45912.40814814815</v>
      </c>
      <c r="C14" s="1" t="n">
        <v>46030</v>
      </c>
      <c r="D14" t="inlineStr">
        <is>
          <t>KALMAR LÄN</t>
        </is>
      </c>
      <c r="E14" t="inlineStr">
        <is>
          <t>MÖRBYLÅNGA</t>
        </is>
      </c>
      <c r="G14" t="n">
        <v>7.9</v>
      </c>
      <c r="H14" t="n">
        <v>1</v>
      </c>
      <c r="I14" t="n">
        <v>1</v>
      </c>
      <c r="J14" t="n">
        <v>4</v>
      </c>
      <c r="K14" t="n">
        <v>0</v>
      </c>
      <c r="L14" t="n">
        <v>0</v>
      </c>
      <c r="M14" t="n">
        <v>0</v>
      </c>
      <c r="N14" t="n">
        <v>0</v>
      </c>
      <c r="O14" t="n">
        <v>4</v>
      </c>
      <c r="P14" t="n">
        <v>0</v>
      </c>
      <c r="Q14" t="n">
        <v>5</v>
      </c>
      <c r="R14" s="2" t="inlineStr">
        <is>
          <t>Alvarsandbi
Grönsångare
Mindre bastardsvärmare
Sexfläckig bastardsvärmare
Tibast</t>
        </is>
      </c>
      <c r="S14">
        <f>HYPERLINK("https://klasma.github.io/Logging_0840/artfynd/A 43714-2025 artfynd.xlsx", "A 43714-2025")</f>
        <v/>
      </c>
      <c r="T14">
        <f>HYPERLINK("https://klasma.github.io/Logging_0840/kartor/A 43714-2025 karta.png", "A 43714-2025")</f>
        <v/>
      </c>
      <c r="V14">
        <f>HYPERLINK("https://klasma.github.io/Logging_0840/klagomål/A 43714-2025 FSC-klagomål.docx", "A 43714-2025")</f>
        <v/>
      </c>
      <c r="W14">
        <f>HYPERLINK("https://klasma.github.io/Logging_0840/klagomålsmail/A 43714-2025 FSC-klagomål mail.docx", "A 43714-2025")</f>
        <v/>
      </c>
      <c r="X14">
        <f>HYPERLINK("https://klasma.github.io/Logging_0840/tillsyn/A 43714-2025 tillsynsbegäran.docx", "A 43714-2025")</f>
        <v/>
      </c>
      <c r="Y14">
        <f>HYPERLINK("https://klasma.github.io/Logging_0840/tillsynsmail/A 43714-2025 tillsynsbegäran mail.docx", "A 43714-2025")</f>
        <v/>
      </c>
      <c r="Z14">
        <f>HYPERLINK("https://klasma.github.io/Logging_0840/fåglar/A 43714-2025 prioriterade fågelarter.docx", "A 43714-2025")</f>
        <v/>
      </c>
    </row>
    <row r="15" ht="15" customHeight="1">
      <c r="A15" t="inlineStr">
        <is>
          <t>A 39320-2024</t>
        </is>
      </c>
      <c r="B15" s="1" t="n">
        <v>45551</v>
      </c>
      <c r="C15" s="1" t="n">
        <v>46030</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60875-2025</t>
        </is>
      </c>
      <c r="B16" s="1" t="n">
        <v>45999.55524305555</v>
      </c>
      <c r="C16" s="1" t="n">
        <v>46030</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54167-2024</t>
        </is>
      </c>
      <c r="B17" s="1" t="n">
        <v>45616.62196759259</v>
      </c>
      <c r="C17" s="1" t="n">
        <v>46030</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46030</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46030</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61963-2025</t>
        </is>
      </c>
      <c r="B20" s="1" t="n">
        <v>46003</v>
      </c>
      <c r="C20" s="1" t="n">
        <v>46030</v>
      </c>
      <c r="D20" t="inlineStr">
        <is>
          <t>KALMAR LÄN</t>
        </is>
      </c>
      <c r="E20" t="inlineStr">
        <is>
          <t>MÖRBYLÅNGA</t>
        </is>
      </c>
      <c r="G20" t="n">
        <v>1.1</v>
      </c>
      <c r="H20" t="n">
        <v>2</v>
      </c>
      <c r="I20" t="n">
        <v>1</v>
      </c>
      <c r="J20" t="n">
        <v>1</v>
      </c>
      <c r="K20" t="n">
        <v>0</v>
      </c>
      <c r="L20" t="n">
        <v>0</v>
      </c>
      <c r="M20" t="n">
        <v>0</v>
      </c>
      <c r="N20" t="n">
        <v>0</v>
      </c>
      <c r="O20" t="n">
        <v>1</v>
      </c>
      <c r="P20" t="n">
        <v>0</v>
      </c>
      <c r="Q20" t="n">
        <v>3</v>
      </c>
      <c r="R20" s="2" t="inlineStr">
        <is>
          <t>Spillkråka
Mindre märgborre
Blåsippa</t>
        </is>
      </c>
      <c r="S20">
        <f>HYPERLINK("https://klasma.github.io/Logging_0840/artfynd/A 61963-2025 artfynd.xlsx", "A 61963-2025")</f>
        <v/>
      </c>
      <c r="T20">
        <f>HYPERLINK("https://klasma.github.io/Logging_0840/kartor/A 61963-2025 karta.png", "A 61963-2025")</f>
        <v/>
      </c>
      <c r="V20">
        <f>HYPERLINK("https://klasma.github.io/Logging_0840/klagomål/A 61963-2025 FSC-klagomål.docx", "A 61963-2025")</f>
        <v/>
      </c>
      <c r="W20">
        <f>HYPERLINK("https://klasma.github.io/Logging_0840/klagomålsmail/A 61963-2025 FSC-klagomål mail.docx", "A 61963-2025")</f>
        <v/>
      </c>
      <c r="X20">
        <f>HYPERLINK("https://klasma.github.io/Logging_0840/tillsyn/A 61963-2025 tillsynsbegäran.docx", "A 61963-2025")</f>
        <v/>
      </c>
      <c r="Y20">
        <f>HYPERLINK("https://klasma.github.io/Logging_0840/tillsynsmail/A 61963-2025 tillsynsbegäran mail.docx", "A 61963-2025")</f>
        <v/>
      </c>
      <c r="Z20">
        <f>HYPERLINK("https://klasma.github.io/Logging_0840/fåglar/A 61963-2025 prioriterade fågelarter.docx", "A 61963-2025")</f>
        <v/>
      </c>
    </row>
    <row r="21" ht="15" customHeight="1">
      <c r="A21" t="inlineStr">
        <is>
          <t>A 62231-2023</t>
        </is>
      </c>
      <c r="B21" s="1" t="n">
        <v>45267</v>
      </c>
      <c r="C21" s="1" t="n">
        <v>46030</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46030</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15600-2025</t>
        </is>
      </c>
      <c r="B23" s="1" t="n">
        <v>45747</v>
      </c>
      <c r="C23" s="1" t="n">
        <v>46030</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54192-2021</t>
        </is>
      </c>
      <c r="B24" s="1" t="n">
        <v>44470</v>
      </c>
      <c r="C24" s="1" t="n">
        <v>46030</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46030</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24698-2023</t>
        </is>
      </c>
      <c r="B26" s="1" t="n">
        <v>45084</v>
      </c>
      <c r="C26" s="1" t="n">
        <v>46030</v>
      </c>
      <c r="D26" t="inlineStr">
        <is>
          <t>KALMAR LÄN</t>
        </is>
      </c>
      <c r="E26" t="inlineStr">
        <is>
          <t>MÖRBYLÅNGA</t>
        </is>
      </c>
      <c r="G26" t="n">
        <v>5.5</v>
      </c>
      <c r="H26" t="n">
        <v>0</v>
      </c>
      <c r="I26" t="n">
        <v>1</v>
      </c>
      <c r="J26" t="n">
        <v>0</v>
      </c>
      <c r="K26" t="n">
        <v>0</v>
      </c>
      <c r="L26" t="n">
        <v>0</v>
      </c>
      <c r="M26" t="n">
        <v>0</v>
      </c>
      <c r="N26" t="n">
        <v>0</v>
      </c>
      <c r="O26" t="n">
        <v>0</v>
      </c>
      <c r="P26" t="n">
        <v>0</v>
      </c>
      <c r="Q26" t="n">
        <v>1</v>
      </c>
      <c r="R26" s="2" t="inlineStr">
        <is>
          <t>Sårläka</t>
        </is>
      </c>
      <c r="S26">
        <f>HYPERLINK("https://klasma.github.io/Logging_0840/artfynd/A 24698-2023 artfynd.xlsx", "A 24698-2023")</f>
        <v/>
      </c>
      <c r="T26">
        <f>HYPERLINK("https://klasma.github.io/Logging_0840/kartor/A 24698-2023 karta.png", "A 24698-2023")</f>
        <v/>
      </c>
      <c r="V26">
        <f>HYPERLINK("https://klasma.github.io/Logging_0840/klagomål/A 24698-2023 FSC-klagomål.docx", "A 24698-2023")</f>
        <v/>
      </c>
      <c r="W26">
        <f>HYPERLINK("https://klasma.github.io/Logging_0840/klagomålsmail/A 24698-2023 FSC-klagomål mail.docx", "A 24698-2023")</f>
        <v/>
      </c>
      <c r="X26">
        <f>HYPERLINK("https://klasma.github.io/Logging_0840/tillsyn/A 24698-2023 tillsynsbegäran.docx", "A 24698-2023")</f>
        <v/>
      </c>
      <c r="Y26">
        <f>HYPERLINK("https://klasma.github.io/Logging_0840/tillsynsmail/A 24698-2023 tillsynsbegäran mail.docx", "A 24698-2023")</f>
        <v/>
      </c>
    </row>
    <row r="27" ht="15" customHeight="1">
      <c r="A27" t="inlineStr">
        <is>
          <t>A 43702-2025</t>
        </is>
      </c>
      <c r="B27" s="1" t="n">
        <v>45912.40270833333</v>
      </c>
      <c r="C27" s="1" t="n">
        <v>46030</v>
      </c>
      <c r="D27" t="inlineStr">
        <is>
          <t>KALMAR LÄN</t>
        </is>
      </c>
      <c r="E27" t="inlineStr">
        <is>
          <t>MÖRBYLÅNGA</t>
        </is>
      </c>
      <c r="G27" t="n">
        <v>2.6</v>
      </c>
      <c r="H27" t="n">
        <v>0</v>
      </c>
      <c r="I27" t="n">
        <v>1</v>
      </c>
      <c r="J27" t="n">
        <v>0</v>
      </c>
      <c r="K27" t="n">
        <v>0</v>
      </c>
      <c r="L27" t="n">
        <v>0</v>
      </c>
      <c r="M27" t="n">
        <v>0</v>
      </c>
      <c r="N27" t="n">
        <v>0</v>
      </c>
      <c r="O27" t="n">
        <v>0</v>
      </c>
      <c r="P27" t="n">
        <v>0</v>
      </c>
      <c r="Q27" t="n">
        <v>1</v>
      </c>
      <c r="R27" s="2" t="inlineStr">
        <is>
          <t>Sårläka</t>
        </is>
      </c>
      <c r="S27">
        <f>HYPERLINK("https://klasma.github.io/Logging_0840/artfynd/A 43702-2025 artfynd.xlsx", "A 43702-2025")</f>
        <v/>
      </c>
      <c r="T27">
        <f>HYPERLINK("https://klasma.github.io/Logging_0840/kartor/A 43702-2025 karta.png", "A 43702-2025")</f>
        <v/>
      </c>
      <c r="V27">
        <f>HYPERLINK("https://klasma.github.io/Logging_0840/klagomål/A 43702-2025 FSC-klagomål.docx", "A 43702-2025")</f>
        <v/>
      </c>
      <c r="W27">
        <f>HYPERLINK("https://klasma.github.io/Logging_0840/klagomålsmail/A 43702-2025 FSC-klagomål mail.docx", "A 43702-2025")</f>
        <v/>
      </c>
      <c r="X27">
        <f>HYPERLINK("https://klasma.github.io/Logging_0840/tillsyn/A 43702-2025 tillsynsbegäran.docx", "A 43702-2025")</f>
        <v/>
      </c>
      <c r="Y27">
        <f>HYPERLINK("https://klasma.github.io/Logging_0840/tillsynsmail/A 43702-2025 tillsynsbegäran mail.docx", "A 43702-2025")</f>
        <v/>
      </c>
    </row>
    <row r="28" ht="15" customHeight="1">
      <c r="A28" t="inlineStr">
        <is>
          <t>A 43704-2025</t>
        </is>
      </c>
      <c r="B28" s="1" t="n">
        <v>45912.40490740741</v>
      </c>
      <c r="C28" s="1" t="n">
        <v>46030</v>
      </c>
      <c r="D28" t="inlineStr">
        <is>
          <t>KALMAR LÄN</t>
        </is>
      </c>
      <c r="E28" t="inlineStr">
        <is>
          <t>MÖRBYLÅNGA</t>
        </is>
      </c>
      <c r="G28" t="n">
        <v>2.7</v>
      </c>
      <c r="H28" t="n">
        <v>0</v>
      </c>
      <c r="I28" t="n">
        <v>1</v>
      </c>
      <c r="J28" t="n">
        <v>0</v>
      </c>
      <c r="K28" t="n">
        <v>0</v>
      </c>
      <c r="L28" t="n">
        <v>0</v>
      </c>
      <c r="M28" t="n">
        <v>0</v>
      </c>
      <c r="N28" t="n">
        <v>0</v>
      </c>
      <c r="O28" t="n">
        <v>0</v>
      </c>
      <c r="P28" t="n">
        <v>0</v>
      </c>
      <c r="Q28" t="n">
        <v>1</v>
      </c>
      <c r="R28" s="2" t="inlineStr">
        <is>
          <t>Blomkålssvamp</t>
        </is>
      </c>
      <c r="S28">
        <f>HYPERLINK("https://klasma.github.io/Logging_0840/artfynd/A 43704-2025 artfynd.xlsx", "A 43704-2025")</f>
        <v/>
      </c>
      <c r="T28">
        <f>HYPERLINK("https://klasma.github.io/Logging_0840/kartor/A 43704-2025 karta.png", "A 43704-2025")</f>
        <v/>
      </c>
      <c r="V28">
        <f>HYPERLINK("https://klasma.github.io/Logging_0840/klagomål/A 43704-2025 FSC-klagomål.docx", "A 43704-2025")</f>
        <v/>
      </c>
      <c r="W28">
        <f>HYPERLINK("https://klasma.github.io/Logging_0840/klagomålsmail/A 43704-2025 FSC-klagomål mail.docx", "A 43704-2025")</f>
        <v/>
      </c>
      <c r="X28">
        <f>HYPERLINK("https://klasma.github.io/Logging_0840/tillsyn/A 43704-2025 tillsynsbegäran.docx", "A 43704-2025")</f>
        <v/>
      </c>
      <c r="Y28">
        <f>HYPERLINK("https://klasma.github.io/Logging_0840/tillsynsmail/A 43704-2025 tillsynsbegäran mail.docx", "A 43704-2025")</f>
        <v/>
      </c>
    </row>
    <row r="29" ht="15" customHeight="1">
      <c r="A29" t="inlineStr">
        <is>
          <t>A 19459-2023</t>
        </is>
      </c>
      <c r="B29" s="1" t="n">
        <v>45049</v>
      </c>
      <c r="C29" s="1" t="n">
        <v>46030</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26876-2022</t>
        </is>
      </c>
      <c r="B30" s="1" t="n">
        <v>44740</v>
      </c>
      <c r="C30" s="1" t="n">
        <v>46030</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57407-2025</t>
        </is>
      </c>
      <c r="B31" s="1" t="n">
        <v>45980.44351851852</v>
      </c>
      <c r="C31" s="1" t="n">
        <v>46030</v>
      </c>
      <c r="D31" t="inlineStr">
        <is>
          <t>KALMAR LÄN</t>
        </is>
      </c>
      <c r="E31" t="inlineStr">
        <is>
          <t>MÖRBYLÅNGA</t>
        </is>
      </c>
      <c r="G31" t="n">
        <v>0.8</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46030</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62183-2025</t>
        </is>
      </c>
      <c r="B33" s="1" t="n">
        <v>46006.5356712963</v>
      </c>
      <c r="C33" s="1" t="n">
        <v>46030</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13040-2024</t>
        </is>
      </c>
      <c r="B34" s="1" t="n">
        <v>45385</v>
      </c>
      <c r="C34" s="1" t="n">
        <v>46030</v>
      </c>
      <c r="D34" t="inlineStr">
        <is>
          <t>KALMAR LÄN</t>
        </is>
      </c>
      <c r="E34" t="inlineStr">
        <is>
          <t>MÖRBYLÅNGA</t>
        </is>
      </c>
      <c r="G34" t="n">
        <v>1.2</v>
      </c>
      <c r="H34" t="n">
        <v>0</v>
      </c>
      <c r="I34" t="n">
        <v>0</v>
      </c>
      <c r="J34" t="n">
        <v>0</v>
      </c>
      <c r="K34" t="n">
        <v>0</v>
      </c>
      <c r="L34" t="n">
        <v>0</v>
      </c>
      <c r="M34" t="n">
        <v>0</v>
      </c>
      <c r="N34" t="n">
        <v>0</v>
      </c>
      <c r="O34" t="n">
        <v>0</v>
      </c>
      <c r="P34" t="n">
        <v>0</v>
      </c>
      <c r="Q34" t="n">
        <v>0</v>
      </c>
      <c r="R34" s="2" t="inlineStr"/>
    </row>
    <row r="35" ht="15" customHeight="1">
      <c r="A35" t="inlineStr">
        <is>
          <t>A 13384-2023</t>
        </is>
      </c>
      <c r="B35" s="1" t="n">
        <v>45005</v>
      </c>
      <c r="C35" s="1" t="n">
        <v>46030</v>
      </c>
      <c r="D35" t="inlineStr">
        <is>
          <t>KALMAR LÄN</t>
        </is>
      </c>
      <c r="E35" t="inlineStr">
        <is>
          <t>MÖRBYLÅNGA</t>
        </is>
      </c>
      <c r="G35" t="n">
        <v>0.9</v>
      </c>
      <c r="H35" t="n">
        <v>0</v>
      </c>
      <c r="I35" t="n">
        <v>0</v>
      </c>
      <c r="J35" t="n">
        <v>0</v>
      </c>
      <c r="K35" t="n">
        <v>0</v>
      </c>
      <c r="L35" t="n">
        <v>0</v>
      </c>
      <c r="M35" t="n">
        <v>0</v>
      </c>
      <c r="N35" t="n">
        <v>0</v>
      </c>
      <c r="O35" t="n">
        <v>0</v>
      </c>
      <c r="P35" t="n">
        <v>0</v>
      </c>
      <c r="Q35" t="n">
        <v>0</v>
      </c>
      <c r="R35" s="2" t="inlineStr"/>
    </row>
    <row r="36">
      <c r="A36" t="inlineStr">
        <is>
          <t>A 72167-2021</t>
        </is>
      </c>
      <c r="B36" s="1" t="n">
        <v>44544</v>
      </c>
      <c r="C36" s="1" t="n">
        <v>46030</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2026-01-08T10:46:48Z</dcterms:created>
  <dcterms:modified xmlns:dcterms="http://purl.org/dc/terms/" xmlns:xsi="http://www.w3.org/2001/XMLSchema-instance" xsi:type="dcterms:W3CDTF">2026-01-08T10:46:48Z</dcterms:modified>
</cp:coreProperties>
</file>