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46111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46111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46111</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46111</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46111</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46111</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46111</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46111</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27636-2023</t>
        </is>
      </c>
      <c r="B10" s="1" t="n">
        <v>45097</v>
      </c>
      <c r="C10" s="1" t="n">
        <v>46111</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27636-2023 artfynd.xlsx", "A 27636-2023")</f>
        <v/>
      </c>
      <c r="T10">
        <f>HYPERLINK("https://klasma.github.io/Logging_0840/kartor/A 27636-2023 karta.png", "A 27636-2023")</f>
        <v/>
      </c>
      <c r="V10">
        <f>HYPERLINK("https://klasma.github.io/Logging_0840/klagomål/A 27636-2023 FSC-klagomål.docx", "A 27636-2023")</f>
        <v/>
      </c>
      <c r="W10">
        <f>HYPERLINK("https://klasma.github.io/Logging_0840/klagomålsmail/A 27636-2023 FSC-klagomål mail.docx", "A 27636-2023")</f>
        <v/>
      </c>
      <c r="X10">
        <f>HYPERLINK("https://klasma.github.io/Logging_0840/tillsyn/A 27636-2023 tillsynsbegäran.docx", "A 27636-2023")</f>
        <v/>
      </c>
      <c r="Y10">
        <f>HYPERLINK("https://klasma.github.io/Logging_0840/tillsynsmail/A 27636-2023 tillsynsbegäran mail.docx", "A 27636-2023")</f>
        <v/>
      </c>
    </row>
    <row r="11" ht="15" customHeight="1">
      <c r="A11" t="inlineStr">
        <is>
          <t>A 38039-2022</t>
        </is>
      </c>
      <c r="B11" s="1" t="n">
        <v>44811</v>
      </c>
      <c r="C11" s="1" t="n">
        <v>46111</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39320-2024</t>
        </is>
      </c>
      <c r="B12" s="1" t="n">
        <v>45551</v>
      </c>
      <c r="C12" s="1" t="n">
        <v>46111</v>
      </c>
      <c r="D12" t="inlineStr">
        <is>
          <t>KALMAR LÄN</t>
        </is>
      </c>
      <c r="E12" t="inlineStr">
        <is>
          <t>MÖRBYLÅNGA</t>
        </is>
      </c>
      <c r="G12" t="n">
        <v>3.3</v>
      </c>
      <c r="H12" t="n">
        <v>1</v>
      </c>
      <c r="I12" t="n">
        <v>2</v>
      </c>
      <c r="J12" t="n">
        <v>1</v>
      </c>
      <c r="K12" t="n">
        <v>1</v>
      </c>
      <c r="L12" t="n">
        <v>0</v>
      </c>
      <c r="M12" t="n">
        <v>0</v>
      </c>
      <c r="N12" t="n">
        <v>0</v>
      </c>
      <c r="O12" t="n">
        <v>2</v>
      </c>
      <c r="P12" t="n">
        <v>1</v>
      </c>
      <c r="Q12" t="n">
        <v>5</v>
      </c>
      <c r="R12" s="2" t="inlineStr">
        <is>
          <t>Toppjungfrulin
Korskovall
Underviol
Vårärt
Skogsduva</t>
        </is>
      </c>
      <c r="S12">
        <f>HYPERLINK("https://klasma.github.io/Logging_0840/artfynd/A 39320-2024 artfynd.xlsx", "A 39320-2024")</f>
        <v/>
      </c>
      <c r="T12">
        <f>HYPERLINK("https://klasma.github.io/Logging_0840/kartor/A 39320-2024 karta.png", "A 39320-2024")</f>
        <v/>
      </c>
      <c r="V12">
        <f>HYPERLINK("https://klasma.github.io/Logging_0840/klagomål/A 39320-2024 FSC-klagomål.docx", "A 39320-2024")</f>
        <v/>
      </c>
      <c r="W12">
        <f>HYPERLINK("https://klasma.github.io/Logging_0840/klagomålsmail/A 39320-2024 FSC-klagomål mail.docx", "A 39320-2024")</f>
        <v/>
      </c>
      <c r="X12">
        <f>HYPERLINK("https://klasma.github.io/Logging_0840/tillsyn/A 39320-2024 tillsynsbegäran.docx", "A 39320-2024")</f>
        <v/>
      </c>
      <c r="Y12">
        <f>HYPERLINK("https://klasma.github.io/Logging_0840/tillsynsmail/A 39320-2024 tillsynsbegäran mail.docx", "A 39320-2024")</f>
        <v/>
      </c>
      <c r="Z12">
        <f>HYPERLINK("https://klasma.github.io/Logging_0840/fåglar/A 39320-2024 prioriterade fågelarter.docx", "A 39320-2024")</f>
        <v/>
      </c>
    </row>
    <row r="13" ht="15" customHeight="1">
      <c r="A13" t="inlineStr">
        <is>
          <t>A 43714-2025</t>
        </is>
      </c>
      <c r="B13" s="1" t="n">
        <v>45912.40814814815</v>
      </c>
      <c r="C13" s="1" t="n">
        <v>46111</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60875-2025</t>
        </is>
      </c>
      <c r="B14" s="1" t="n">
        <v>45999.55524305555</v>
      </c>
      <c r="C14" s="1" t="n">
        <v>46111</v>
      </c>
      <c r="D14" t="inlineStr">
        <is>
          <t>KALMAR LÄN</t>
        </is>
      </c>
      <c r="E14" t="inlineStr">
        <is>
          <t>MÖRBYLÅNGA</t>
        </is>
      </c>
      <c r="G14" t="n">
        <v>2.1</v>
      </c>
      <c r="H14" t="n">
        <v>3</v>
      </c>
      <c r="I14" t="n">
        <v>0</v>
      </c>
      <c r="J14" t="n">
        <v>4</v>
      </c>
      <c r="K14" t="n">
        <v>0</v>
      </c>
      <c r="L14" t="n">
        <v>0</v>
      </c>
      <c r="M14" t="n">
        <v>0</v>
      </c>
      <c r="N14" t="n">
        <v>0</v>
      </c>
      <c r="O14" t="n">
        <v>4</v>
      </c>
      <c r="P14" t="n">
        <v>0</v>
      </c>
      <c r="Q14" t="n">
        <v>4</v>
      </c>
      <c r="R14" s="2" t="inlineStr">
        <is>
          <t>Grönsångare
Gulsparv
Kråka
Svinrot</t>
        </is>
      </c>
      <c r="S14">
        <f>HYPERLINK("https://klasma.github.io/Logging_0840/artfynd/A 60875-2025 artfynd.xlsx", "A 60875-2025")</f>
        <v/>
      </c>
      <c r="T14">
        <f>HYPERLINK("https://klasma.github.io/Logging_0840/kartor/A 60875-2025 karta.png", "A 60875-2025")</f>
        <v/>
      </c>
      <c r="V14">
        <f>HYPERLINK("https://klasma.github.io/Logging_0840/klagomål/A 60875-2025 FSC-klagomål.docx", "A 60875-2025")</f>
        <v/>
      </c>
      <c r="W14">
        <f>HYPERLINK("https://klasma.github.io/Logging_0840/klagomålsmail/A 60875-2025 FSC-klagomål mail.docx", "A 60875-2025")</f>
        <v/>
      </c>
      <c r="X14">
        <f>HYPERLINK("https://klasma.github.io/Logging_0840/tillsyn/A 60875-2025 tillsynsbegäran.docx", "A 60875-2025")</f>
        <v/>
      </c>
      <c r="Y14">
        <f>HYPERLINK("https://klasma.github.io/Logging_0840/tillsynsmail/A 60875-2025 tillsynsbegäran mail.docx", "A 60875-2025")</f>
        <v/>
      </c>
      <c r="Z14">
        <f>HYPERLINK("https://klasma.github.io/Logging_0840/fåglar/A 60875-2025 prioriterade fågelarter.docx", "A 60875-2025")</f>
        <v/>
      </c>
    </row>
    <row r="15" ht="15" customHeight="1">
      <c r="A15" t="inlineStr">
        <is>
          <t>A 54167-2024</t>
        </is>
      </c>
      <c r="B15" s="1" t="n">
        <v>45616.62196759259</v>
      </c>
      <c r="C15" s="1" t="n">
        <v>46111</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46111</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61963-2025</t>
        </is>
      </c>
      <c r="B17" s="1" t="n">
        <v>46003</v>
      </c>
      <c r="C17" s="1" t="n">
        <v>46111</v>
      </c>
      <c r="D17" t="inlineStr">
        <is>
          <t>KALMAR LÄN</t>
        </is>
      </c>
      <c r="E17" t="inlineStr">
        <is>
          <t>MÖRBYLÅNGA</t>
        </is>
      </c>
      <c r="G17" t="n">
        <v>1.1</v>
      </c>
      <c r="H17" t="n">
        <v>2</v>
      </c>
      <c r="I17" t="n">
        <v>1</v>
      </c>
      <c r="J17" t="n">
        <v>1</v>
      </c>
      <c r="K17" t="n">
        <v>0</v>
      </c>
      <c r="L17" t="n">
        <v>0</v>
      </c>
      <c r="M17" t="n">
        <v>0</v>
      </c>
      <c r="N17" t="n">
        <v>0</v>
      </c>
      <c r="O17" t="n">
        <v>1</v>
      </c>
      <c r="P17" t="n">
        <v>0</v>
      </c>
      <c r="Q17" t="n">
        <v>3</v>
      </c>
      <c r="R17" s="2" t="inlineStr">
        <is>
          <t>Spillkråka
Mindre märgborre
Blåsippa</t>
        </is>
      </c>
      <c r="S17">
        <f>HYPERLINK("https://klasma.github.io/Logging_0840/artfynd/A 61963-2025 artfynd.xlsx", "A 61963-2025")</f>
        <v/>
      </c>
      <c r="T17">
        <f>HYPERLINK("https://klasma.github.io/Logging_0840/kartor/A 61963-2025 karta.png", "A 61963-2025")</f>
        <v/>
      </c>
      <c r="V17">
        <f>HYPERLINK("https://klasma.github.io/Logging_0840/klagomål/A 61963-2025 FSC-klagomål.docx", "A 61963-2025")</f>
        <v/>
      </c>
      <c r="W17">
        <f>HYPERLINK("https://klasma.github.io/Logging_0840/klagomålsmail/A 61963-2025 FSC-klagomål mail.docx", "A 61963-2025")</f>
        <v/>
      </c>
      <c r="X17">
        <f>HYPERLINK("https://klasma.github.io/Logging_0840/tillsyn/A 61963-2025 tillsynsbegäran.docx", "A 61963-2025")</f>
        <v/>
      </c>
      <c r="Y17">
        <f>HYPERLINK("https://klasma.github.io/Logging_0840/tillsynsmail/A 61963-2025 tillsynsbegäran mail.docx", "A 61963-2025")</f>
        <v/>
      </c>
      <c r="Z17">
        <f>HYPERLINK("https://klasma.github.io/Logging_0840/fåglar/A 61963-2025 prioriterade fågelarter.docx", "A 61963-2025")</f>
        <v/>
      </c>
    </row>
    <row r="18" ht="15" customHeight="1">
      <c r="A18" t="inlineStr">
        <is>
          <t>A 2864-2026</t>
        </is>
      </c>
      <c r="B18" s="1" t="n">
        <v>46038</v>
      </c>
      <c r="C18" s="1" t="n">
        <v>46111</v>
      </c>
      <c r="D18" t="inlineStr">
        <is>
          <t>KALMAR LÄN</t>
        </is>
      </c>
      <c r="E18" t="inlineStr">
        <is>
          <t>MÖRBYLÅNGA</t>
        </is>
      </c>
      <c r="G18" t="n">
        <v>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2864-2026 artfynd.xlsx", "A 2864-2026")</f>
        <v/>
      </c>
      <c r="T18">
        <f>HYPERLINK("https://klasma.github.io/Logging_0840/kartor/A 2864-2026 karta.png", "A 2864-2026")</f>
        <v/>
      </c>
      <c r="V18">
        <f>HYPERLINK("https://klasma.github.io/Logging_0840/klagomål/A 2864-2026 FSC-klagomål.docx", "A 2864-2026")</f>
        <v/>
      </c>
      <c r="W18">
        <f>HYPERLINK("https://klasma.github.io/Logging_0840/klagomålsmail/A 2864-2026 FSC-klagomål mail.docx", "A 2864-2026")</f>
        <v/>
      </c>
      <c r="X18">
        <f>HYPERLINK("https://klasma.github.io/Logging_0840/tillsyn/A 2864-2026 tillsynsbegäran.docx", "A 2864-2026")</f>
        <v/>
      </c>
      <c r="Y18">
        <f>HYPERLINK("https://klasma.github.io/Logging_0840/tillsynsmail/A 2864-2026 tillsynsbegäran mail.docx", "A 2864-2026")</f>
        <v/>
      </c>
      <c r="Z18">
        <f>HYPERLINK("https://klasma.github.io/Logging_0840/fåglar/A 2864-2026 prioriterade fågelarter.docx", "A 2864-2026")</f>
        <v/>
      </c>
    </row>
    <row r="19" ht="15" customHeight="1">
      <c r="A19" t="inlineStr">
        <is>
          <t>A 35242-2024</t>
        </is>
      </c>
      <c r="B19" s="1" t="n">
        <v>45530.55440972222</v>
      </c>
      <c r="C19" s="1" t="n">
        <v>46111</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46111</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46111</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46111</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46111</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46111</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46111</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46111</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46111</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46111</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46111</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46111</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57407-2025</t>
        </is>
      </c>
      <c r="B31" s="1" t="n">
        <v>45980.44351851852</v>
      </c>
      <c r="C31" s="1" t="n">
        <v>46111</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46111</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62183-2025</t>
        </is>
      </c>
      <c r="B33" s="1" t="n">
        <v>46006.5356712963</v>
      </c>
      <c r="C33" s="1" t="n">
        <v>46111</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5733-2026</t>
        </is>
      </c>
      <c r="B34" s="1" t="n">
        <v>46051.5745949074</v>
      </c>
      <c r="C34" s="1" t="n">
        <v>46111</v>
      </c>
      <c r="D34" t="inlineStr">
        <is>
          <t>KALMAR LÄN</t>
        </is>
      </c>
      <c r="E34" t="inlineStr">
        <is>
          <t>MÖRBYLÅNGA</t>
        </is>
      </c>
      <c r="G34" t="n">
        <v>1.1</v>
      </c>
      <c r="H34" t="n">
        <v>0</v>
      </c>
      <c r="I34" t="n">
        <v>0</v>
      </c>
      <c r="J34" t="n">
        <v>0</v>
      </c>
      <c r="K34" t="n">
        <v>0</v>
      </c>
      <c r="L34" t="n">
        <v>0</v>
      </c>
      <c r="M34" t="n">
        <v>0</v>
      </c>
      <c r="N34" t="n">
        <v>0</v>
      </c>
      <c r="O34" t="n">
        <v>0</v>
      </c>
      <c r="P34" t="n">
        <v>0</v>
      </c>
      <c r="Q34" t="n">
        <v>0</v>
      </c>
      <c r="R34" s="2" t="inlineStr"/>
    </row>
    <row r="35" ht="15" customHeight="1">
      <c r="A35" t="inlineStr">
        <is>
          <t>A 63676-2023</t>
        </is>
      </c>
      <c r="B35" s="1" t="n">
        <v>45275.64739583333</v>
      </c>
      <c r="C35" s="1" t="n">
        <v>46111</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row r="36">
      <c r="A36" t="inlineStr">
        <is>
          <t>A 72167-2021</t>
        </is>
      </c>
      <c r="B36" s="1" t="n">
        <v>44544</v>
      </c>
      <c r="C36" s="1" t="n">
        <v>46111</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2026-03-30T10:49:03Z</dcterms:created>
  <dcterms:modified xmlns:dcterms="http://purl.org/dc/terms/" xmlns:xsi="http://www.w3.org/2001/XMLSchema-instance" xsi:type="dcterms:W3CDTF">2026-03-30T10:49:03Z</dcterms:modified>
</cp:coreProperties>
</file>