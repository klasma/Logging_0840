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46254</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46254</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46254</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46254</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46254</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46254</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46254</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46254</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46254</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46254</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46254</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46254</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46254</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27636-2023</t>
        </is>
      </c>
      <c r="B15" t="inlineStr">
        <is>
          <t>avverkningsanmälan</t>
        </is>
      </c>
      <c r="C15" t="inlineStr">
        <is>
          <t>Avverkning för annat ändamål</t>
        </is>
      </c>
      <c r="D15" s="1" t="n">
        <v>45097</v>
      </c>
      <c r="E15" s="1" t="n">
        <v>46254</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11</v>
      </c>
      <c r="V15" s="2" t="inlineStr">
        <is>
          <t>Ask
Grov gulmossa
Backtimjan
Dvärgjordstjärna
Solvända
Ängsstarr
Murgröna
Alvarmalört
Grönvit nattviol
Krutbrännare
Gullviva</t>
        </is>
      </c>
      <c r="W15">
        <f>HYPERLINK("https://klasma.github.io/Logging_0840/artfynd/A 27636-2023 artfynd.xlsx", "A 27636-2023")</f>
        <v/>
      </c>
      <c r="X15">
        <f>HYPERLINK("https://klasma.github.io/Logging_0840/kartor/A 27636-2023 karta.png", "A 27636-2023")</f>
        <v/>
      </c>
      <c r="Y15">
        <f>HYPERLINK("https://klasma.github.io/Logging_0840/kartor_geotiff/A 27636-2023 georefererad karta.tif", "A 27636-2023")</f>
        <v/>
      </c>
      <c r="AA15">
        <f>HYPERLINK("https://klasma.github.io/Logging_0840/klagomål/A 27636-2023 FSC-klagomål.docx", "A 27636-2023")</f>
        <v/>
      </c>
      <c r="AB15">
        <f>HYPERLINK("https://klasma.github.io/Logging_0840/klagomålsmail/A 27636-2023 FSC-klagomål mail.docx", "A 27636-2023")</f>
        <v/>
      </c>
      <c r="AC15">
        <f>HYPERLINK("https://klasma.github.io/Logging_0840/tillsyn/A 27636-2023 tillsynsbegäran.docx", "A 27636-2023")</f>
        <v/>
      </c>
      <c r="AD15">
        <f>HYPERLINK("https://klasma.github.io/Logging_0840/tillsynsmail/A 27636-2023 tillsynsbegäran mail.docx", "A 27636-2023")</f>
        <v/>
      </c>
    </row>
    <row r="16" ht="15" customHeight="1">
      <c r="A16" t="inlineStr">
        <is>
          <t>A 24778-2022</t>
        </is>
      </c>
      <c r="B16" t="inlineStr">
        <is>
          <t>avverkningsanmälan</t>
        </is>
      </c>
      <c r="C16" t="inlineStr">
        <is>
          <t>Föryngringsavverkning</t>
        </is>
      </c>
      <c r="D16" s="1" t="n">
        <v>44728</v>
      </c>
      <c r="E16" s="1" t="n">
        <v>46254</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60875-2025</t>
        </is>
      </c>
      <c r="B17" t="inlineStr">
        <is>
          <t>avverkningsanmälan</t>
        </is>
      </c>
      <c r="C17" t="inlineStr">
        <is>
          <t>Föryngringsavverkning</t>
        </is>
      </c>
      <c r="D17" s="1" t="n">
        <v>45999</v>
      </c>
      <c r="E17" s="1" t="n">
        <v>46254</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38039-2022</t>
        </is>
      </c>
      <c r="B18" t="inlineStr">
        <is>
          <t>avverkningsanmälan</t>
        </is>
      </c>
      <c r="C18" t="inlineStr">
        <is>
          <t>Avverkning för annat ändamål</t>
        </is>
      </c>
      <c r="D18" s="1" t="n">
        <v>44811</v>
      </c>
      <c r="E18" s="1" t="n">
        <v>46254</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12</v>
      </c>
      <c r="V18" s="2" t="inlineStr">
        <is>
          <t>Ask
Grov gulmossa
Backtimjan
Dvärgjordstjärna
Solvända
Ängsstarr
Murgröna
Alvarmalört
Grönvit nattviol
Krutbrännare
Gullviva</t>
        </is>
      </c>
      <c r="W18">
        <f>HYPERLINK("https://klasma.github.io/Logging_0840/artfynd/A 38039-2022 artfynd.xlsx", "A 38039-2022")</f>
        <v/>
      </c>
      <c r="X18">
        <f>HYPERLINK("https://klasma.github.io/Logging_0840/kartor/A 38039-2022 karta.png", "A 38039-2022")</f>
        <v/>
      </c>
      <c r="Y18">
        <f>HYPERLINK("https://klasma.github.io/Logging_0840/kartor_geotiff/A 38039-2022 georefererad karta.tif", "A 38039-2022")</f>
        <v/>
      </c>
      <c r="AA18">
        <f>HYPERLINK("https://klasma.github.io/Logging_0840/klagomål/A 38039-2022 FSC-klagomål.docx", "A 38039-2022")</f>
        <v/>
      </c>
      <c r="AB18">
        <f>HYPERLINK("https://klasma.github.io/Logging_0840/klagomålsmail/A 38039-2022 FSC-klagomål mail.docx", "A 38039-2022")</f>
        <v/>
      </c>
      <c r="AC18">
        <f>HYPERLINK("https://klasma.github.io/Logging_0840/tillsyn/A 38039-2022 tillsynsbegäran.docx", "A 38039-2022")</f>
        <v/>
      </c>
      <c r="AD18">
        <f>HYPERLINK("https://klasma.github.io/Logging_0840/tillsynsmail/A 38039-2022 tillsynsbegäran mail.docx", "A 38039-2022")</f>
        <v/>
      </c>
    </row>
    <row r="19" ht="15" customHeight="1">
      <c r="A19" t="inlineStr">
        <is>
          <t>A 39320-2024</t>
        </is>
      </c>
      <c r="B19" t="inlineStr">
        <is>
          <t>avverkningsanmälan</t>
        </is>
      </c>
      <c r="C19" t="inlineStr">
        <is>
          <t>Avverkning för annat ändamål</t>
        </is>
      </c>
      <c r="D19" s="1" t="n">
        <v>45551</v>
      </c>
      <c r="E19" s="1" t="n">
        <v>46254</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46254</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46254</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46254</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46254</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46254</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46254</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46254</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46254</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46254</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46254</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46254</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26440-2026</t>
        </is>
      </c>
      <c r="B31" t="inlineStr">
        <is>
          <t>avverkningsanmälan</t>
        </is>
      </c>
      <c r="C31" t="inlineStr">
        <is>
          <t>Avverkning för annat ändamål</t>
        </is>
      </c>
      <c r="D31" s="1" t="n">
        <v>46183</v>
      </c>
      <c r="E31" s="1" t="n">
        <v>46254</v>
      </c>
      <c r="F31" t="inlineStr">
        <is>
          <t>KALMAR LÄN</t>
        </is>
      </c>
      <c r="G31" t="inlineStr">
        <is>
          <t>MÖRBYLÅNGA</t>
        </is>
      </c>
      <c r="I31" t="n">
        <v>1.1</v>
      </c>
      <c r="J31" t="n">
        <v>1</v>
      </c>
      <c r="K31" t="n">
        <v>3</v>
      </c>
      <c r="L31" t="n">
        <v>1</v>
      </c>
      <c r="M31" t="n">
        <v>0</v>
      </c>
      <c r="N31" t="n">
        <v>0</v>
      </c>
      <c r="O31" t="n">
        <v>0</v>
      </c>
      <c r="P31" t="n">
        <v>0</v>
      </c>
      <c r="Q31" t="n">
        <v>1</v>
      </c>
      <c r="R31" t="n">
        <v>0</v>
      </c>
      <c r="S31" t="n">
        <v>4</v>
      </c>
      <c r="T31" t="n">
        <v>5</v>
      </c>
      <c r="U31" t="n">
        <v>0</v>
      </c>
      <c r="V31" s="2" t="inlineStr">
        <is>
          <t>Backstarr
Murgröna
Nästrot
Vätteros</t>
        </is>
      </c>
      <c r="W31">
        <f>HYPERLINK("https://klasma.github.io/Logging_0840/artfynd/A 26440-2026 artfynd.xlsx", "A 26440-2026")</f>
        <v/>
      </c>
      <c r="X31">
        <f>HYPERLINK("https://klasma.github.io/Logging_0840/kartor/A 26440-2026 karta.png", "A 26440-2026")</f>
        <v/>
      </c>
      <c r="Y31">
        <f>HYPERLINK("https://klasma.github.io/Logging_0840/kartor_geotiff/A 26440-2026 georefererad karta.tif", "A 26440-2026")</f>
        <v/>
      </c>
      <c r="AA31">
        <f>HYPERLINK("https://klasma.github.io/Logging_0840/klagomål/A 26440-2026 FSC-klagomål.docx", "A 26440-2026")</f>
        <v/>
      </c>
      <c r="AB31">
        <f>HYPERLINK("https://klasma.github.io/Logging_0840/klagomålsmail/A 26440-2026 FSC-klagomål mail.docx", "A 26440-2026")</f>
        <v/>
      </c>
      <c r="AC31">
        <f>HYPERLINK("https://klasma.github.io/Logging_0840/tillsyn/A 26440-2026 tillsynsbegäran.docx", "A 26440-2026")</f>
        <v/>
      </c>
      <c r="AD31">
        <f>HYPERLINK("https://klasma.github.io/Logging_0840/tillsynsmail/A 26440-2026 tillsynsbegäran mail.docx", "A 26440-2026")</f>
        <v/>
      </c>
    </row>
    <row r="32" ht="15" customHeight="1">
      <c r="A32" t="inlineStr">
        <is>
          <t>A 54167-2024</t>
        </is>
      </c>
      <c r="B32" t="inlineStr">
        <is>
          <t>avverkningsanmälan</t>
        </is>
      </c>
      <c r="C32" t="inlineStr">
        <is>
          <t>Föryngringsavverkning</t>
        </is>
      </c>
      <c r="D32" s="1" t="n">
        <v>45616</v>
      </c>
      <c r="E32" s="1" t="n">
        <v>46254</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46254</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46254</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46254</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46254</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46254</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46254</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29360-2026</t>
        </is>
      </c>
      <c r="B39" t="inlineStr">
        <is>
          <t>avverkningsanmälan</t>
        </is>
      </c>
      <c r="C39" t="inlineStr">
        <is>
          <t>Avverkning för annat ändamål</t>
        </is>
      </c>
      <c r="D39" s="1" t="n">
        <v>46203</v>
      </c>
      <c r="E39" s="1" t="n">
        <v>46254</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72167-2021</t>
        </is>
      </c>
      <c r="B40" t="inlineStr">
        <is>
          <t>avverkningsanmälan</t>
        </is>
      </c>
      <c r="C40" t="inlineStr">
        <is>
          <t>Föryngringsavverkning</t>
        </is>
      </c>
      <c r="D40" s="1" t="n">
        <v>44544</v>
      </c>
      <c r="E40" s="1" t="n">
        <v>46254</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S 2138-2026</t>
        </is>
      </c>
      <c r="B41" t="inlineStr">
        <is>
          <t>samrådsanmälan</t>
        </is>
      </c>
      <c r="C41" t="inlineStr">
        <is>
          <t>Annan skogsbruksåtgärd</t>
        </is>
      </c>
      <c r="D41" s="1" t="n">
        <v>46246</v>
      </c>
      <c r="E41" s="1" t="n">
        <v>46254</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13040-2024</t>
        </is>
      </c>
      <c r="B42" t="inlineStr">
        <is>
          <t>avverkningsanmälan</t>
        </is>
      </c>
      <c r="C42" t="inlineStr">
        <is>
          <t>Avverkning för annat ändamål</t>
        </is>
      </c>
      <c r="D42" s="1" t="n">
        <v>45385</v>
      </c>
      <c r="E42" s="1" t="n">
        <v>46254</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46254</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46254</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62183-2025</t>
        </is>
      </c>
      <c r="B45" t="inlineStr">
        <is>
          <t>avverkningsanmälan</t>
        </is>
      </c>
      <c r="C45" t="inlineStr">
        <is>
          <t>Föryngringsavverkning</t>
        </is>
      </c>
      <c r="D45" s="1" t="n">
        <v>46006</v>
      </c>
      <c r="E45" s="1" t="n">
        <v>46254</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24698-2023</t>
        </is>
      </c>
      <c r="B46" t="inlineStr">
        <is>
          <t>avverkningsanmälan</t>
        </is>
      </c>
      <c r="C46" t="inlineStr">
        <is>
          <t>Föryngringsavverkning</t>
        </is>
      </c>
      <c r="D46" s="1" t="n">
        <v>45084</v>
      </c>
      <c r="E46" s="1" t="n">
        <v>46254</v>
      </c>
      <c r="F46" t="inlineStr">
        <is>
          <t>KALMAR LÄN</t>
        </is>
      </c>
      <c r="G46" t="inlineStr">
        <is>
          <t>MÖRBYLÅNGA</t>
        </is>
      </c>
      <c r="I46" t="n">
        <v>5.5</v>
      </c>
      <c r="J46" t="n">
        <v>0</v>
      </c>
      <c r="K46" t="n">
        <v>0</v>
      </c>
      <c r="L46" t="n">
        <v>1</v>
      </c>
      <c r="M46" t="n">
        <v>0</v>
      </c>
      <c r="N46" t="n">
        <v>0</v>
      </c>
      <c r="O46" t="n">
        <v>0</v>
      </c>
      <c r="P46" t="n">
        <v>0</v>
      </c>
      <c r="Q46" t="n">
        <v>1</v>
      </c>
      <c r="R46" t="n">
        <v>0</v>
      </c>
      <c r="S46" t="n">
        <v>1</v>
      </c>
      <c r="T46" t="n">
        <v>1</v>
      </c>
      <c r="U46" t="n">
        <v>1</v>
      </c>
      <c r="V46" s="2" t="inlineStr">
        <is>
          <t>Sårläka</t>
        </is>
      </c>
      <c r="W46">
        <f>HYPERLINK("https://klasma.github.io/Logging_0840/artfynd/A 24698-2023 artfynd.xlsx", "A 24698-2023")</f>
        <v/>
      </c>
      <c r="X46">
        <f>HYPERLINK("https://klasma.github.io/Logging_0840/kartor/A 24698-2023 karta.png", "A 24698-2023")</f>
        <v/>
      </c>
      <c r="Y46">
        <f>HYPERLINK("https://klasma.github.io/Logging_0840/kartor_geotiff/A 24698-2023 georefererad karta.tif", "A 24698-2023")</f>
        <v/>
      </c>
      <c r="AA46">
        <f>HYPERLINK("https://klasma.github.io/Logging_0840/klagomål/A 24698-2023 FSC-klagomål.docx", "A 24698-2023")</f>
        <v/>
      </c>
      <c r="AB46">
        <f>HYPERLINK("https://klasma.github.io/Logging_0840/klagomålsmail/A 24698-2023 FSC-klagomål mail.docx", "A 24698-2023")</f>
        <v/>
      </c>
      <c r="AC46">
        <f>HYPERLINK("https://klasma.github.io/Logging_0840/tillsyn/A 24698-2023 tillsynsbegäran.docx", "A 24698-2023")</f>
        <v/>
      </c>
      <c r="AD46">
        <f>HYPERLINK("https://klasma.github.io/Logging_0840/tillsynsmail/A 24698-2023 tillsynsbegäran mail.docx", "A 24698-2023")</f>
        <v/>
      </c>
    </row>
    <row r="47" ht="15" customHeight="1">
      <c r="A47" t="inlineStr">
        <is>
          <t>A 26876-2022</t>
        </is>
      </c>
      <c r="B47" t="inlineStr">
        <is>
          <t>avverkningsanmälan</t>
        </is>
      </c>
      <c r="C47" t="inlineStr">
        <is>
          <t>Avverkning för annat ändamål</t>
        </is>
      </c>
      <c r="D47" s="1" t="n">
        <v>44740</v>
      </c>
      <c r="E47" s="1" t="n">
        <v>46254</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46254</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46254</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2026-08-20T01:48:33Z</dcterms:created>
  <dcterms:modified xmlns:dcterms="http://purl.org/dc/terms/" xmlns:xsi="http://www.w3.org/2001/XMLSchema-instance" xsi:type="dcterms:W3CDTF">2026-08-20T01:48:33Z</dcterms:modified>
</cp:coreProperties>
</file>