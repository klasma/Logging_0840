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46319</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46319</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46319</v>
      </c>
      <c r="F4" t="inlineStr">
        <is>
          <t>KALMAR LÄN</t>
        </is>
      </c>
      <c r="G4" t="inlineStr">
        <is>
          <t>MÖRBYLÅNGA</t>
        </is>
      </c>
      <c r="I4" t="n">
        <v>1.5</v>
      </c>
      <c r="J4" t="n">
        <v>4</v>
      </c>
      <c r="K4" t="n">
        <v>2</v>
      </c>
      <c r="L4" t="n">
        <v>29</v>
      </c>
      <c r="M4" t="n">
        <v>9</v>
      </c>
      <c r="N4" t="n">
        <v>4</v>
      </c>
      <c r="O4" t="n">
        <v>0</v>
      </c>
      <c r="P4" t="n">
        <v>0</v>
      </c>
      <c r="Q4" t="n">
        <v>42</v>
      </c>
      <c r="R4" t="n">
        <v>13</v>
      </c>
      <c r="S4" t="n">
        <v>45</v>
      </c>
      <c r="T4" t="n">
        <v>71</v>
      </c>
      <c r="U4" t="n">
        <v>36</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46319</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46319</v>
      </c>
      <c r="F6" t="inlineStr">
        <is>
          <t>KALMAR LÄN</t>
        </is>
      </c>
      <c r="G6" t="inlineStr">
        <is>
          <t>MÖRBYLÅNGA</t>
        </is>
      </c>
      <c r="I6" t="n">
        <v>7.3</v>
      </c>
      <c r="J6" t="n">
        <v>10</v>
      </c>
      <c r="K6" t="n">
        <v>7</v>
      </c>
      <c r="L6" t="n">
        <v>18</v>
      </c>
      <c r="M6" t="n">
        <v>3</v>
      </c>
      <c r="N6" t="n">
        <v>2</v>
      </c>
      <c r="O6" t="n">
        <v>1</v>
      </c>
      <c r="P6" t="n">
        <v>0</v>
      </c>
      <c r="Q6" t="n">
        <v>24</v>
      </c>
      <c r="R6" t="n">
        <v>6</v>
      </c>
      <c r="S6" t="n">
        <v>36</v>
      </c>
      <c r="T6" t="n">
        <v>187</v>
      </c>
      <c r="U6" t="n">
        <v>147</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46319</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46319</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46319</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46319</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46319</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46319</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46319</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46319</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24778-2022</t>
        </is>
      </c>
      <c r="B15" t="inlineStr">
        <is>
          <t>avverkningsanmälan</t>
        </is>
      </c>
      <c r="C15" t="inlineStr">
        <is>
          <t>Föryngringsavverkning</t>
        </is>
      </c>
      <c r="D15" s="1" t="n">
        <v>44728</v>
      </c>
      <c r="E15" s="1" t="n">
        <v>46319</v>
      </c>
      <c r="F15" t="inlineStr">
        <is>
          <t>KALMAR LÄN</t>
        </is>
      </c>
      <c r="G15" t="inlineStr">
        <is>
          <t>MÖRBYLÅNGA</t>
        </is>
      </c>
      <c r="I15" t="n">
        <v>1</v>
      </c>
      <c r="J15" t="n">
        <v>1</v>
      </c>
      <c r="K15" t="n">
        <v>2</v>
      </c>
      <c r="L15" t="n">
        <v>7</v>
      </c>
      <c r="M15" t="n">
        <v>0</v>
      </c>
      <c r="N15" t="n">
        <v>1</v>
      </c>
      <c r="O15" t="n">
        <v>0</v>
      </c>
      <c r="P15" t="n">
        <v>0</v>
      </c>
      <c r="Q15" t="n">
        <v>8</v>
      </c>
      <c r="R15" t="n">
        <v>1</v>
      </c>
      <c r="S15" t="n">
        <v>11</v>
      </c>
      <c r="T15" t="n">
        <v>20</v>
      </c>
      <c r="U15" t="n">
        <v>20</v>
      </c>
      <c r="V15" s="2" t="inlineStr">
        <is>
          <t>Tofsäxing
Backtimjan
Flentimotej
Grådådra
Poppeltofsskivling
Slåtterfibbla
Sminkrot
Solvända
Kalktallört
Murgröna
Blåsippa</t>
        </is>
      </c>
      <c r="W15">
        <f>HYPERLINK("https://klasma.github.io/Logging_0840/artfynd/A 24778-2022 artfynd.xlsx", "A 24778-2022")</f>
        <v/>
      </c>
      <c r="X15">
        <f>HYPERLINK("https://klasma.github.io/Logging_0840/kartor/A 24778-2022 karta.png", "A 24778-2022")</f>
        <v/>
      </c>
      <c r="Y15">
        <f>HYPERLINK("https://klasma.github.io/Logging_0840/kartor_geotiff/A 24778-2022 georefererad karta.tif", "A 24778-2022")</f>
        <v/>
      </c>
      <c r="AA15">
        <f>HYPERLINK("https://klasma.github.io/Logging_0840/klagomål/A 24778-2022 FSC-klagomål.docx", "A 24778-2022")</f>
        <v/>
      </c>
      <c r="AB15">
        <f>HYPERLINK("https://klasma.github.io/Logging_0840/klagomålsmail/A 24778-2022 FSC-klagomål mail.docx", "A 24778-2022")</f>
        <v/>
      </c>
      <c r="AC15">
        <f>HYPERLINK("https://klasma.github.io/Logging_0840/tillsyn/A 24778-2022 tillsynsbegäran.docx", "A 24778-2022")</f>
        <v/>
      </c>
      <c r="AD15">
        <f>HYPERLINK("https://klasma.github.io/Logging_0840/tillsynsmail/A 24778-2022 tillsynsbegäran mail.docx", "A 24778-2022")</f>
        <v/>
      </c>
    </row>
    <row r="16" ht="15" customHeight="1">
      <c r="A16" t="inlineStr">
        <is>
          <t>A 60875-2025</t>
        </is>
      </c>
      <c r="B16" t="inlineStr">
        <is>
          <t>avverkningsanmälan</t>
        </is>
      </c>
      <c r="C16" t="inlineStr">
        <is>
          <t>Föryngringsavverkning</t>
        </is>
      </c>
      <c r="D16" s="1" t="n">
        <v>45999</v>
      </c>
      <c r="E16" s="1" t="n">
        <v>46319</v>
      </c>
      <c r="F16" t="inlineStr">
        <is>
          <t>KALMAR LÄN</t>
        </is>
      </c>
      <c r="G16" t="inlineStr">
        <is>
          <t>MÖRBYLÅNGA</t>
        </is>
      </c>
      <c r="I16" t="n">
        <v>2.1</v>
      </c>
      <c r="J16" t="n">
        <v>8</v>
      </c>
      <c r="K16" t="n">
        <v>1</v>
      </c>
      <c r="L16" t="n">
        <v>5</v>
      </c>
      <c r="M16" t="n">
        <v>0</v>
      </c>
      <c r="N16" t="n">
        <v>1</v>
      </c>
      <c r="O16" t="n">
        <v>1</v>
      </c>
      <c r="P16" t="n">
        <v>0</v>
      </c>
      <c r="Q16" t="n">
        <v>7</v>
      </c>
      <c r="R16" t="n">
        <v>2</v>
      </c>
      <c r="S16" t="n">
        <v>11</v>
      </c>
      <c r="T16" t="n">
        <v>12</v>
      </c>
      <c r="U16" t="n">
        <v>3</v>
      </c>
      <c r="V16" s="2" t="inlineStr">
        <is>
          <t>Järnek
Mosippa
Grönsångare
Gulsparv
Göktyta
Mindre hackspett
Svinrot
Murgröna
Spillkråka
Kråka
Skogsduva</t>
        </is>
      </c>
      <c r="W16">
        <f>HYPERLINK("https://klasma.github.io/Logging_0840/artfynd/A 60875-2025 artfynd.xlsx", "A 60875-2025")</f>
        <v/>
      </c>
      <c r="X16">
        <f>HYPERLINK("https://klasma.github.io/Logging_0840/kartor/A 60875-2025 karta.png", "A 60875-2025")</f>
        <v/>
      </c>
      <c r="Y16">
        <f>HYPERLINK("https://klasma.github.io/Logging_0840/kartor_geotiff/A 60875-2025 georefererad karta.tif", "A 60875-2025")</f>
        <v/>
      </c>
      <c r="AA16">
        <f>HYPERLINK("https://klasma.github.io/Logging_0840/klagomål/A 60875-2025 FSC-klagomål.docx", "A 60875-2025")</f>
        <v/>
      </c>
      <c r="AB16">
        <f>HYPERLINK("https://klasma.github.io/Logging_0840/klagomålsmail/A 60875-2025 FSC-klagomål mail.docx", "A 60875-2025")</f>
        <v/>
      </c>
      <c r="AC16">
        <f>HYPERLINK("https://klasma.github.io/Logging_0840/tillsyn/A 60875-2025 tillsynsbegäran.docx", "A 60875-2025")</f>
        <v/>
      </c>
      <c r="AD16">
        <f>HYPERLINK("https://klasma.github.io/Logging_0840/tillsynsmail/A 60875-2025 tillsynsbegäran mail.docx", "A 60875-2025")</f>
        <v/>
      </c>
      <c r="AE16">
        <f>HYPERLINK("https://klasma.github.io/Logging_0840/fåglar/A 60875-2025 prioriterade fågelarter.docx", "A 60875-2025")</f>
        <v/>
      </c>
    </row>
    <row r="17" ht="15" customHeight="1">
      <c r="A17" t="inlineStr">
        <is>
          <t>A 38039-2022</t>
        </is>
      </c>
      <c r="B17" t="inlineStr">
        <is>
          <t>avverkningsanmälan</t>
        </is>
      </c>
      <c r="C17" t="inlineStr">
        <is>
          <t>Avverkning för annat ändamål</t>
        </is>
      </c>
      <c r="D17" s="1" t="n">
        <v>44811</v>
      </c>
      <c r="E17" s="1" t="n">
        <v>46319</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46319</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46319</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A 15600-2025</t>
        </is>
      </c>
      <c r="B20" t="inlineStr">
        <is>
          <t>avverkningsanmälan</t>
        </is>
      </c>
      <c r="C20" t="inlineStr">
        <is>
          <t>Avverkning för annat ändamål</t>
        </is>
      </c>
      <c r="D20" s="1" t="n">
        <v>45747</v>
      </c>
      <c r="E20" s="1" t="n">
        <v>46319</v>
      </c>
      <c r="F20" t="inlineStr">
        <is>
          <t>KALMAR LÄN</t>
        </is>
      </c>
      <c r="G20" t="inlineStr">
        <is>
          <t>MÖRBYLÅNGA</t>
        </is>
      </c>
      <c r="I20" t="n">
        <v>1.1</v>
      </c>
      <c r="J20" t="n">
        <v>3</v>
      </c>
      <c r="K20" t="n">
        <v>4</v>
      </c>
      <c r="L20" t="n">
        <v>0</v>
      </c>
      <c r="M20" t="n">
        <v>0</v>
      </c>
      <c r="N20" t="n">
        <v>1</v>
      </c>
      <c r="O20" t="n">
        <v>0</v>
      </c>
      <c r="P20" t="n">
        <v>0</v>
      </c>
      <c r="Q20" t="n">
        <v>1</v>
      </c>
      <c r="R20" t="n">
        <v>1</v>
      </c>
      <c r="S20" t="n">
        <v>10</v>
      </c>
      <c r="T20" t="n">
        <v>20</v>
      </c>
      <c r="U20" t="n">
        <v>18</v>
      </c>
      <c r="V20" s="2" t="inlineStr">
        <is>
          <t>Ask
Kragjordstjärna
Murgröna
Scharlakansvårskål agg.
Tibast
Blåsippa
Skärmstarr
Spillkråka
Storrams
Röd glada</t>
        </is>
      </c>
      <c r="W20">
        <f>HYPERLINK("https://klasma.github.io/Logging_0840/artfynd/A 15600-2025 artfynd.xlsx", "A 15600-2025")</f>
        <v/>
      </c>
      <c r="X20">
        <f>HYPERLINK("https://klasma.github.io/Logging_0840/kartor/A 15600-2025 karta.png", "A 15600-2025")</f>
        <v/>
      </c>
      <c r="Y20">
        <f>HYPERLINK("https://klasma.github.io/Logging_0840/kartor_geotiff/A 15600-2025 georefererad karta.tif", "A 15600-2025")</f>
        <v/>
      </c>
      <c r="AA20">
        <f>HYPERLINK("https://klasma.github.io/Logging_0840/klagomål/A 15600-2025 FSC-klagomål.docx", "A 15600-2025")</f>
        <v/>
      </c>
      <c r="AB20">
        <f>HYPERLINK("https://klasma.github.io/Logging_0840/klagomålsmail/A 15600-2025 FSC-klagomål mail.docx", "A 15600-2025")</f>
        <v/>
      </c>
      <c r="AC20">
        <f>HYPERLINK("https://klasma.github.io/Logging_0840/tillsyn/A 15600-2025 tillsynsbegäran.docx", "A 15600-2025")</f>
        <v/>
      </c>
      <c r="AD20">
        <f>HYPERLINK("https://klasma.github.io/Logging_0840/tillsynsmail/A 15600-2025 tillsynsbegäran mail.docx", "A 15600-2025")</f>
        <v/>
      </c>
      <c r="AE20">
        <f>HYPERLINK("https://klasma.github.io/Logging_0840/fåglar/A 15600-2025 prioriterade fågelarter.docx", "A 15600-2025")</f>
        <v/>
      </c>
    </row>
    <row r="21" ht="15" customHeight="1">
      <c r="A21" t="inlineStr">
        <is>
          <t>S 1122-2022</t>
        </is>
      </c>
      <c r="B21" t="inlineStr">
        <is>
          <t>samrådsanmälan</t>
        </is>
      </c>
      <c r="C21" t="inlineStr">
        <is>
          <t>Annan skogsbruksåtgärd</t>
        </is>
      </c>
      <c r="D21" s="1" t="n">
        <v>44616</v>
      </c>
      <c r="E21" s="1" t="n">
        <v>46319</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46319</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46319</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46319</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46319</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46319</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43714-2025</t>
        </is>
      </c>
      <c r="B27" t="inlineStr">
        <is>
          <t>avverkningsanmälan</t>
        </is>
      </c>
      <c r="C27" t="inlineStr">
        <is>
          <t>Föryngringsavverkning</t>
        </is>
      </c>
      <c r="D27" s="1" t="n">
        <v>45912</v>
      </c>
      <c r="E27" s="1" t="n">
        <v>46319</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A 43704-2025</t>
        </is>
      </c>
      <c r="B28" t="inlineStr">
        <is>
          <t>avverkningsanmälan</t>
        </is>
      </c>
      <c r="C28" t="inlineStr">
        <is>
          <t>Föryngringsavverkning</t>
        </is>
      </c>
      <c r="D28" s="1" t="n">
        <v>45912</v>
      </c>
      <c r="E28" s="1" t="n">
        <v>46319</v>
      </c>
      <c r="F28" t="inlineStr">
        <is>
          <t>KALMAR LÄN</t>
        </is>
      </c>
      <c r="G28" t="inlineStr">
        <is>
          <t>MÖRBYLÅNGA</t>
        </is>
      </c>
      <c r="I28" t="n">
        <v>2.7</v>
      </c>
      <c r="J28" t="n">
        <v>5</v>
      </c>
      <c r="K28" t="n">
        <v>1</v>
      </c>
      <c r="L28" t="n">
        <v>0</v>
      </c>
      <c r="M28" t="n">
        <v>0</v>
      </c>
      <c r="N28" t="n">
        <v>0</v>
      </c>
      <c r="O28" t="n">
        <v>0</v>
      </c>
      <c r="P28" t="n">
        <v>0</v>
      </c>
      <c r="Q28" t="n">
        <v>0</v>
      </c>
      <c r="R28" t="n">
        <v>0</v>
      </c>
      <c r="S28" t="n">
        <v>6</v>
      </c>
      <c r="T28" t="n">
        <v>6</v>
      </c>
      <c r="U28" t="n">
        <v>1</v>
      </c>
      <c r="V28" s="2" t="inlineStr">
        <is>
          <t>Blomkålssvamp
Långbensgroda
Större vattensalamander
Åkergroda
Mindre vattensalamander
Vanlig padda</t>
        </is>
      </c>
      <c r="W28">
        <f>HYPERLINK("https://klasma.github.io/Logging_0840/artfynd/A 43704-2025 artfynd.xlsx", "A 43704-2025")</f>
        <v/>
      </c>
      <c r="X28">
        <f>HYPERLINK("https://klasma.github.io/Logging_0840/kartor/A 43704-2025 karta.png", "A 43704-2025")</f>
        <v/>
      </c>
      <c r="Y28">
        <f>HYPERLINK("https://klasma.github.io/Logging_0840/kartor_geotiff/A 43704-2025 georefererad karta.tif", "A 43704-2025")</f>
        <v/>
      </c>
      <c r="AA28">
        <f>HYPERLINK("https://klasma.github.io/Logging_0840/klagomål/A 43704-2025 FSC-klagomål.docx", "A 43704-2025")</f>
        <v/>
      </c>
      <c r="AB28">
        <f>HYPERLINK("https://klasma.github.io/Logging_0840/klagomålsmail/A 43704-2025 FSC-klagomål mail.docx", "A 43704-2025")</f>
        <v/>
      </c>
      <c r="AC28">
        <f>HYPERLINK("https://klasma.github.io/Logging_0840/tillsyn/A 43704-2025 tillsynsbegäran.docx", "A 43704-2025")</f>
        <v/>
      </c>
      <c r="AD28">
        <f>HYPERLINK("https://klasma.github.io/Logging_0840/tillsynsmail/A 43704-2025 tillsynsbegäran mail.docx", "A 43704-2025")</f>
        <v/>
      </c>
    </row>
    <row r="29" ht="15" customHeight="1">
      <c r="A29" t="inlineStr">
        <is>
          <t>S 1814-2026</t>
        </is>
      </c>
      <c r="B29" t="inlineStr">
        <is>
          <t>samrådsanmälan</t>
        </is>
      </c>
      <c r="C29" t="inlineStr">
        <is>
          <t>Annan skogsbruksåtgärd</t>
        </is>
      </c>
      <c r="D29" s="1" t="n">
        <v>46190</v>
      </c>
      <c r="E29" s="1" t="n">
        <v>46319</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2864-2026</t>
        </is>
      </c>
      <c r="B30" t="inlineStr">
        <is>
          <t>avverkningsanmälan</t>
        </is>
      </c>
      <c r="C30" t="inlineStr">
        <is>
          <t>Föryngringsavverkning</t>
        </is>
      </c>
      <c r="D30" s="1" t="n">
        <v>46038</v>
      </c>
      <c r="E30" s="1" t="n">
        <v>46319</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61963-2025</t>
        </is>
      </c>
      <c r="B31" t="inlineStr">
        <is>
          <t>avverkningsanmälan</t>
        </is>
      </c>
      <c r="C31" t="inlineStr">
        <is>
          <t>Avverkning för annat ändamål</t>
        </is>
      </c>
      <c r="D31" s="1" t="n">
        <v>46003</v>
      </c>
      <c r="E31" s="1" t="n">
        <v>46319</v>
      </c>
      <c r="F31" t="inlineStr">
        <is>
          <t>KALMAR LÄN</t>
        </is>
      </c>
      <c r="G31" t="inlineStr">
        <is>
          <t>MÖRBYLÅNGA</t>
        </is>
      </c>
      <c r="I31" t="n">
        <v>1.1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61963-2025 artfynd.xlsx", "A 61963-2025")</f>
        <v/>
      </c>
      <c r="X31">
        <f>HYPERLINK("https://klasma.github.io/Logging_0840/kartor/A 61963-2025 karta.png", "A 61963-2025")</f>
        <v/>
      </c>
      <c r="Y31">
        <f>HYPERLINK("https://klasma.github.io/Logging_0840/kartor_geotiff/A 61963-2025 georefererad karta.tif", "A 61963-2025")</f>
        <v/>
      </c>
      <c r="AA31">
        <f>HYPERLINK("https://klasma.github.io/Logging_0840/klagomål/A 61963-2025 FSC-klagomål.docx", "A 61963-2025")</f>
        <v/>
      </c>
      <c r="AB31">
        <f>HYPERLINK("https://klasma.github.io/Logging_0840/klagomålsmail/A 61963-2025 FSC-klagomål mail.docx", "A 61963-2025")</f>
        <v/>
      </c>
      <c r="AC31">
        <f>HYPERLINK("https://klasma.github.io/Logging_0840/tillsyn/A 61963-2025 tillsynsbegäran.docx", "A 61963-2025")</f>
        <v/>
      </c>
      <c r="AD31">
        <f>HYPERLINK("https://klasma.github.io/Logging_0840/tillsynsmail/A 61963-2025 tillsynsbegäran mail.docx", "A 61963-2025")</f>
        <v/>
      </c>
      <c r="AE31">
        <f>HYPERLINK("https://klasma.github.io/Logging_0840/fåglar/A 61963-2025 prioriterade fågelarter.docx", "A 61963-2025")</f>
        <v/>
      </c>
    </row>
    <row r="32" ht="15" customHeight="1">
      <c r="A32" t="inlineStr">
        <is>
          <t>A 19459-2023</t>
        </is>
      </c>
      <c r="B32" t="inlineStr">
        <is>
          <t>avverkningsanmälan</t>
        </is>
      </c>
      <c r="C32" t="inlineStr">
        <is>
          <t>Avverkning för annat ändamål</t>
        </is>
      </c>
      <c r="D32" s="1" t="n">
        <v>45049</v>
      </c>
      <c r="E32" s="1" t="n">
        <v>46319</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46319</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46319</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54167-2024</t>
        </is>
      </c>
      <c r="B35" t="inlineStr">
        <is>
          <t>avverkningsanmälan</t>
        </is>
      </c>
      <c r="C35" t="inlineStr">
        <is>
          <t>Föryngringsavverkning</t>
        </is>
      </c>
      <c r="D35" s="1" t="n">
        <v>45616</v>
      </c>
      <c r="E35" s="1" t="n">
        <v>46319</v>
      </c>
      <c r="F35" t="inlineStr">
        <is>
          <t>KALMAR LÄN</t>
        </is>
      </c>
      <c r="G35" t="inlineStr">
        <is>
          <t>MÖRBYLÅNGA</t>
        </is>
      </c>
      <c r="I35" t="n">
        <v>1.5</v>
      </c>
      <c r="J35" t="n">
        <v>2</v>
      </c>
      <c r="K35" t="n">
        <v>2</v>
      </c>
      <c r="L35" t="n">
        <v>0</v>
      </c>
      <c r="M35" t="n">
        <v>0</v>
      </c>
      <c r="N35" t="n">
        <v>1</v>
      </c>
      <c r="O35" t="n">
        <v>0</v>
      </c>
      <c r="P35" t="n">
        <v>0</v>
      </c>
      <c r="Q35" t="n">
        <v>1</v>
      </c>
      <c r="R35" t="n">
        <v>1</v>
      </c>
      <c r="S35" t="n">
        <v>4</v>
      </c>
      <c r="T35" t="n">
        <v>8</v>
      </c>
      <c r="U35" t="n">
        <v>8</v>
      </c>
      <c r="V35" s="2" t="inlineStr">
        <is>
          <t>Ask
Murgröna
Tvåblad
Blåsippa</t>
        </is>
      </c>
      <c r="W35">
        <f>HYPERLINK("https://klasma.github.io/Logging_0840/artfynd/A 54167-2024 artfynd.xlsx", "A 54167-2024")</f>
        <v/>
      </c>
      <c r="X35">
        <f>HYPERLINK("https://klasma.github.io/Logging_0840/kartor/A 54167-2024 karta.png", "A 54167-2024")</f>
        <v/>
      </c>
      <c r="Y35">
        <f>HYPERLINK("https://klasma.github.io/Logging_0840/kartor_geotiff/A 54167-2024 georefererad karta.tif", "A 54167-2024")</f>
        <v/>
      </c>
      <c r="AA35">
        <f>HYPERLINK("https://klasma.github.io/Logging_0840/klagomål/A 54167-2024 FSC-klagomål.docx", "A 54167-2024")</f>
        <v/>
      </c>
      <c r="AB35">
        <f>HYPERLINK("https://klasma.github.io/Logging_0840/klagomålsmail/A 54167-2024 FSC-klagomål mail.docx", "A 54167-2024")</f>
        <v/>
      </c>
      <c r="AC35">
        <f>HYPERLINK("https://klasma.github.io/Logging_0840/tillsyn/A 54167-2024 tillsynsbegäran.docx", "A 54167-2024")</f>
        <v/>
      </c>
      <c r="AD35">
        <f>HYPERLINK("https://klasma.github.io/Logging_0840/tillsynsmail/A 54167-2024 tillsynsbegäran mail.docx", "A 54167-2024")</f>
        <v/>
      </c>
    </row>
    <row r="36" ht="15" customHeight="1">
      <c r="A36" t="inlineStr">
        <is>
          <t>A 43702-2025</t>
        </is>
      </c>
      <c r="B36" t="inlineStr">
        <is>
          <t>avverkningsanmälan</t>
        </is>
      </c>
      <c r="C36" t="inlineStr">
        <is>
          <t>Föryngringsavverkning</t>
        </is>
      </c>
      <c r="D36" s="1" t="n">
        <v>45912</v>
      </c>
      <c r="E36" s="1" t="n">
        <v>46319</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46319</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72167-2021</t>
        </is>
      </c>
      <c r="B38" t="inlineStr">
        <is>
          <t>avverkningsanmälan</t>
        </is>
      </c>
      <c r="C38" t="inlineStr">
        <is>
          <t>Föryngringsavverkning</t>
        </is>
      </c>
      <c r="D38" s="1" t="n">
        <v>44544</v>
      </c>
      <c r="E38" s="1" t="n">
        <v>46319</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46319</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S 2138-2026</t>
        </is>
      </c>
      <c r="B40" t="inlineStr">
        <is>
          <t>samrådsanmälan</t>
        </is>
      </c>
      <c r="C40" t="inlineStr">
        <is>
          <t>Annan skogsbruksåtgärd</t>
        </is>
      </c>
      <c r="D40" s="1" t="n">
        <v>46246</v>
      </c>
      <c r="E40" s="1" t="n">
        <v>46319</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13040-2024</t>
        </is>
      </c>
      <c r="B41" t="inlineStr">
        <is>
          <t>avverkningsanmälan</t>
        </is>
      </c>
      <c r="C41" t="inlineStr">
        <is>
          <t>Avverkning för annat ändamål</t>
        </is>
      </c>
      <c r="D41" s="1" t="n">
        <v>45385</v>
      </c>
      <c r="E41" s="1" t="n">
        <v>46319</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30492-2026</t>
        </is>
      </c>
      <c r="B42" t="inlineStr">
        <is>
          <t>avverkningsanmälan</t>
        </is>
      </c>
      <c r="C42" t="inlineStr">
        <is>
          <t>Avverkning för annat ändamål</t>
        </is>
      </c>
      <c r="D42" s="1" t="n">
        <v>46210</v>
      </c>
      <c r="E42" s="1" t="n">
        <v>46319</v>
      </c>
      <c r="F42" t="inlineStr">
        <is>
          <t>KALMAR LÄN</t>
        </is>
      </c>
      <c r="G42" t="inlineStr">
        <is>
          <t>MÖRBYLÅNGA</t>
        </is>
      </c>
      <c r="I42" t="n">
        <v>2</v>
      </c>
      <c r="J42" t="n">
        <v>0</v>
      </c>
      <c r="K42" t="n">
        <v>0</v>
      </c>
      <c r="L42" t="n">
        <v>1</v>
      </c>
      <c r="M42" t="n">
        <v>0</v>
      </c>
      <c r="N42" t="n">
        <v>0</v>
      </c>
      <c r="O42" t="n">
        <v>0</v>
      </c>
      <c r="P42" t="n">
        <v>0</v>
      </c>
      <c r="Q42" t="n">
        <v>1</v>
      </c>
      <c r="R42" t="n">
        <v>0</v>
      </c>
      <c r="S42" t="n">
        <v>1</v>
      </c>
      <c r="T42" t="n">
        <v>1</v>
      </c>
      <c r="U42" t="n">
        <v>0</v>
      </c>
      <c r="V42" s="2" t="inlineStr">
        <is>
          <t>Jordtistel</t>
        </is>
      </c>
      <c r="W42">
        <f>HYPERLINK("https://klasma.github.io/Logging_0840/artfynd/A 30492-2026 artfynd.xlsx", "A 30492-2026")</f>
        <v/>
      </c>
      <c r="X42">
        <f>HYPERLINK("https://klasma.github.io/Logging_0840/kartor/A 30492-2026 karta.png", "A 30492-2026")</f>
        <v/>
      </c>
      <c r="Y42">
        <f>HYPERLINK("https://klasma.github.io/Logging_0840/kartor_geotiff/A 30492-2026 georefererad karta.tif", "A 30492-2026")</f>
        <v/>
      </c>
      <c r="AA42">
        <f>HYPERLINK("https://klasma.github.io/Logging_0840/klagomål/A 30492-2026 FSC-klagomål.docx", "A 30492-2026")</f>
        <v/>
      </c>
      <c r="AB42">
        <f>HYPERLINK("https://klasma.github.io/Logging_0840/klagomålsmail/A 30492-2026 FSC-klagomål mail.docx", "A 30492-2026")</f>
        <v/>
      </c>
      <c r="AC42">
        <f>HYPERLINK("https://klasma.github.io/Logging_0840/tillsyn/A 30492-2026 tillsynsbegäran.docx", "A 30492-2026")</f>
        <v/>
      </c>
      <c r="AD42">
        <f>HYPERLINK("https://klasma.github.io/Logging_0840/tillsynsmail/A 30492-2026 tillsynsbegäran mail.docx", "A 30492-2026")</f>
        <v/>
      </c>
    </row>
    <row r="43" ht="15" customHeight="1">
      <c r="A43" t="inlineStr">
        <is>
          <t>A 62183-2025</t>
        </is>
      </c>
      <c r="B43" t="inlineStr">
        <is>
          <t>avverkningsanmälan</t>
        </is>
      </c>
      <c r="C43" t="inlineStr">
        <is>
          <t>Föryngringsavverkning</t>
        </is>
      </c>
      <c r="D43" s="1" t="n">
        <v>46006</v>
      </c>
      <c r="E43" s="1" t="n">
        <v>46319</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t="n">
        <v>0</v>
      </c>
      <c r="V43" s="2" t="inlineStr">
        <is>
          <t>Kösa</t>
        </is>
      </c>
      <c r="W43">
        <f>HYPERLINK("https://klasma.github.io/Logging_0840/artfynd/A 62183-2025 artfynd.xlsx", "A 62183-2025")</f>
        <v/>
      </c>
      <c r="X43">
        <f>HYPERLINK("https://klasma.github.io/Logging_0840/kartor/A 62183-2025 karta.png", "A 62183-2025")</f>
        <v/>
      </c>
      <c r="Y43">
        <f>HYPERLINK("https://klasma.github.io/Logging_0840/kartor_geotiff/A 62183-2025 georefererad karta.tif", "A 62183-2025")</f>
        <v/>
      </c>
      <c r="AA43">
        <f>HYPERLINK("https://klasma.github.io/Logging_0840/klagomål/A 62183-2025 FSC-klagomål.docx", "A 62183-2025")</f>
        <v/>
      </c>
      <c r="AB43">
        <f>HYPERLINK("https://klasma.github.io/Logging_0840/klagomålsmail/A 62183-2025 FSC-klagomål mail.docx", "A 62183-2025")</f>
        <v/>
      </c>
      <c r="AC43">
        <f>HYPERLINK("https://klasma.github.io/Logging_0840/tillsyn/A 62183-2025 tillsynsbegäran.docx", "A 62183-2025")</f>
        <v/>
      </c>
      <c r="AD43">
        <f>HYPERLINK("https://klasma.github.io/Logging_0840/tillsynsmail/A 62183-2025 tillsynsbegäran mail.docx", "A 62183-2025")</f>
        <v/>
      </c>
    </row>
    <row r="44" ht="15" customHeight="1">
      <c r="A44" t="inlineStr">
        <is>
          <t>A 24698-2023</t>
        </is>
      </c>
      <c r="B44" t="inlineStr">
        <is>
          <t>avverkningsanmälan</t>
        </is>
      </c>
      <c r="C44" t="inlineStr">
        <is>
          <t>Föryngringsavverkning</t>
        </is>
      </c>
      <c r="D44" s="1" t="n">
        <v>45084</v>
      </c>
      <c r="E44" s="1" t="n">
        <v>46319</v>
      </c>
      <c r="F44" t="inlineStr">
        <is>
          <t>KALMAR LÄN</t>
        </is>
      </c>
      <c r="G44" t="inlineStr">
        <is>
          <t>MÖRBYLÅNGA</t>
        </is>
      </c>
      <c r="I44" t="n">
        <v>5.5</v>
      </c>
      <c r="J44" t="n">
        <v>0</v>
      </c>
      <c r="K44" t="n">
        <v>0</v>
      </c>
      <c r="L44" t="n">
        <v>1</v>
      </c>
      <c r="M44" t="n">
        <v>0</v>
      </c>
      <c r="N44" t="n">
        <v>0</v>
      </c>
      <c r="O44" t="n">
        <v>0</v>
      </c>
      <c r="P44" t="n">
        <v>0</v>
      </c>
      <c r="Q44" t="n">
        <v>1</v>
      </c>
      <c r="R44" t="n">
        <v>0</v>
      </c>
      <c r="S44" t="n">
        <v>1</v>
      </c>
      <c r="T44" t="n">
        <v>1</v>
      </c>
      <c r="U44" t="n">
        <v>1</v>
      </c>
      <c r="V44" s="2" t="inlineStr">
        <is>
          <t>Sårläka</t>
        </is>
      </c>
      <c r="W44">
        <f>HYPERLINK("https://klasma.github.io/Logging_0840/artfynd/A 24698-2023 artfynd.xlsx", "A 24698-2023")</f>
        <v/>
      </c>
      <c r="X44">
        <f>HYPERLINK("https://klasma.github.io/Logging_0840/kartor/A 24698-2023 karta.png", "A 24698-2023")</f>
        <v/>
      </c>
      <c r="Y44">
        <f>HYPERLINK("https://klasma.github.io/Logging_0840/kartor_geotiff/A 24698-2023 georefererad karta.tif", "A 24698-2023")</f>
        <v/>
      </c>
      <c r="AA44">
        <f>HYPERLINK("https://klasma.github.io/Logging_0840/klagomål/A 24698-2023 FSC-klagomål.docx", "A 24698-2023")</f>
        <v/>
      </c>
      <c r="AB44">
        <f>HYPERLINK("https://klasma.github.io/Logging_0840/klagomålsmail/A 24698-2023 FSC-klagomål mail.docx", "A 24698-2023")</f>
        <v/>
      </c>
      <c r="AC44">
        <f>HYPERLINK("https://klasma.github.io/Logging_0840/tillsyn/A 24698-2023 tillsynsbegäran.docx", "A 24698-2023")</f>
        <v/>
      </c>
      <c r="AD44">
        <f>HYPERLINK("https://klasma.github.io/Logging_0840/tillsynsmail/A 24698-2023 tillsynsbegäran mail.docx", "A 24698-2023")</f>
        <v/>
      </c>
    </row>
    <row r="45" ht="15" customHeight="1">
      <c r="A45" t="inlineStr">
        <is>
          <t>A 13384-2023</t>
        </is>
      </c>
      <c r="B45" t="inlineStr">
        <is>
          <t>avverkningsanmälan</t>
        </is>
      </c>
      <c r="C45" t="inlineStr">
        <is>
          <t>Föryngringsavverkning</t>
        </is>
      </c>
      <c r="D45" s="1" t="n">
        <v>45005</v>
      </c>
      <c r="E45" s="1" t="n">
        <v>46319</v>
      </c>
      <c r="F45" t="inlineStr">
        <is>
          <t>KALMAR LÄN</t>
        </is>
      </c>
      <c r="G45" t="inlineStr">
        <is>
          <t>MÖRBYLÅNGA</t>
        </is>
      </c>
      <c r="I45" t="n">
        <v>0.9</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HYPERLINK("https://klasma.github.io/Logging_0840/artfynd/A 13384-2023 artfynd.xlsx", "A 13384-2023")</f>
        <v/>
      </c>
      <c r="X45">
        <f>HYPERLINK("https://klasma.github.io/Logging_0840/kartor/A 13384-2023 karta.png", "A 13384-2023")</f>
        <v/>
      </c>
      <c r="Y45">
        <f>HYPERLINK("https://klasma.github.io/Logging_0840/kartor_geotiff/A 13384-2023 georefererad karta.tif", "A 13384-2023")</f>
        <v/>
      </c>
      <c r="AA45">
        <f>HYPERLINK("https://klasma.github.io/Logging_0840/klagomål/A 13384-2023 FSC-klagomål.docx", "A 13384-2023")</f>
        <v/>
      </c>
      <c r="AB45">
        <f>HYPERLINK("https://klasma.github.io/Logging_0840/klagomålsmail/A 13384-2023 FSC-klagomål mail.docx", "A 13384-2023")</f>
        <v/>
      </c>
      <c r="AC45">
        <f>HYPERLINK("https://klasma.github.io/Logging_0840/tillsyn/A 13384-2023 tillsynsbegäran.docx", "A 13384-2023")</f>
        <v/>
      </c>
      <c r="AD45">
        <f>HYPERLINK("https://klasma.github.io/Logging_0840/tillsynsmail/A 13384-2023 tillsynsbegäran mail.docx", "A 13384-2023")</f>
        <v/>
      </c>
    </row>
    <row r="46" ht="15" customHeight="1">
      <c r="A46" t="inlineStr">
        <is>
          <t>A 36928-2026</t>
        </is>
      </c>
      <c r="B46" t="inlineStr">
        <is>
          <t>avverkningsanmälan</t>
        </is>
      </c>
      <c r="C46" t="inlineStr">
        <is>
          <t>Föryngringsavverkning</t>
        </is>
      </c>
      <c r="D46" s="1" t="n">
        <v>46273</v>
      </c>
      <c r="E46" s="1" t="n">
        <v>46319</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46319</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46319</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43693-2026</t>
        </is>
      </c>
      <c r="B49" t="inlineStr">
        <is>
          <t>avverkningsanmälan</t>
        </is>
      </c>
      <c r="C49" t="inlineStr">
        <is>
          <t>Föryngringsavverkning</t>
        </is>
      </c>
      <c r="D49" s="1" t="n">
        <v>46316</v>
      </c>
      <c r="E49" s="1" t="n">
        <v>46319</v>
      </c>
      <c r="F49" t="inlineStr">
        <is>
          <t>KALMAR LÄN</t>
        </is>
      </c>
      <c r="G49" t="inlineStr">
        <is>
          <t>MÖRBYLÅNGA</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43698-2026</t>
        </is>
      </c>
      <c r="B50" t="inlineStr">
        <is>
          <t>avverkningsanmälan</t>
        </is>
      </c>
      <c r="C50" t="inlineStr">
        <is>
          <t>Föryngringsavverkning</t>
        </is>
      </c>
      <c r="D50" s="1" t="n">
        <v>46316</v>
      </c>
      <c r="E50" s="1" t="n">
        <v>46319</v>
      </c>
      <c r="F50" t="inlineStr">
        <is>
          <t>KALMAR LÄN</t>
        </is>
      </c>
      <c r="G50" t="inlineStr">
        <is>
          <t>MÖRBYLÅNGA</t>
        </is>
      </c>
      <c r="I50" t="n">
        <v>0.7</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46319</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2026-10-24T02:03:42Z</dcterms:created>
  <dcterms:modified xmlns:dcterms="http://purl.org/dc/terms/" xmlns:xsi="http://www.w3.org/2001/XMLSchema-instance" xsi:type="dcterms:W3CDTF">2026-10-24T02:03:42Z</dcterms:modified>
</cp:coreProperties>
</file>