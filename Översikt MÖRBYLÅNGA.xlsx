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46251</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46251</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46251</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46251</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46251</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46251</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46251</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46251</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46251</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46251</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46251</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46251</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46251</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46251</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46251</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46251</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46251</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46251</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46251</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46251</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46251</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46251</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46251</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46251</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46251</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46251</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46251</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46251</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46251</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19459-2023</t>
        </is>
      </c>
      <c r="B31" t="inlineStr">
        <is>
          <t>avverkningsanmälan</t>
        </is>
      </c>
      <c r="C31" t="inlineStr">
        <is>
          <t>Avverkning för annat ändamål</t>
        </is>
      </c>
      <c r="D31" s="1" t="n">
        <v>45049</v>
      </c>
      <c r="E31" s="1" t="n">
        <v>46251</v>
      </c>
      <c r="F31" t="inlineStr">
        <is>
          <t>KALMAR LÄN</t>
        </is>
      </c>
      <c r="G31" t="inlineStr">
        <is>
          <t>MÖRBYLÅNGA</t>
        </is>
      </c>
      <c r="I31" t="n">
        <v>1.6</v>
      </c>
      <c r="J31" t="n">
        <v>0</v>
      </c>
      <c r="K31" t="n">
        <v>0</v>
      </c>
      <c r="L31" t="n">
        <v>4</v>
      </c>
      <c r="M31" t="n">
        <v>0</v>
      </c>
      <c r="N31" t="n">
        <v>0</v>
      </c>
      <c r="O31" t="n">
        <v>0</v>
      </c>
      <c r="P31" t="n">
        <v>0</v>
      </c>
      <c r="Q31" t="n">
        <v>4</v>
      </c>
      <c r="R31" t="n">
        <v>0</v>
      </c>
      <c r="S31" t="n">
        <v>4</v>
      </c>
      <c r="T31" t="n">
        <v>4</v>
      </c>
      <c r="U31" t="n">
        <v>4</v>
      </c>
      <c r="V31" s="2" t="inlineStr">
        <is>
          <t>Kavelhirs
Kösa
Luddvicker
Riddarsporre</t>
        </is>
      </c>
      <c r="W31">
        <f>HYPERLINK("https://klasma.github.io/Logging_0840/artfynd/A 19459-2023 artfynd.xlsx", "A 19459-2023")</f>
        <v/>
      </c>
      <c r="X31">
        <f>HYPERLINK("https://klasma.github.io/Logging_0840/kartor/A 19459-2023 karta.png", "A 19459-2023")</f>
        <v/>
      </c>
      <c r="Y31">
        <f>HYPERLINK("https://klasma.github.io/Logging_0840/kartor_geotiff/A 19459-2023 georefererad karta.tif", "A 19459-2023")</f>
        <v/>
      </c>
      <c r="AA31">
        <f>HYPERLINK("https://klasma.github.io/Logging_0840/klagomål/A 19459-2023 FSC-klagomål.docx", "A 19459-2023")</f>
        <v/>
      </c>
      <c r="AB31">
        <f>HYPERLINK("https://klasma.github.io/Logging_0840/klagomålsmail/A 19459-2023 FSC-klagomål mail.docx", "A 19459-2023")</f>
        <v/>
      </c>
      <c r="AC31">
        <f>HYPERLINK("https://klasma.github.io/Logging_0840/tillsyn/A 19459-2023 tillsynsbegäran.docx", "A 19459-2023")</f>
        <v/>
      </c>
      <c r="AD31">
        <f>HYPERLINK("https://klasma.github.io/Logging_0840/tillsynsmail/A 19459-2023 tillsynsbegäran mail.docx", "A 19459-2023")</f>
        <v/>
      </c>
    </row>
    <row r="32" ht="15" customHeight="1">
      <c r="A32" t="inlineStr">
        <is>
          <t>A 54167-2024</t>
        </is>
      </c>
      <c r="B32" t="inlineStr">
        <is>
          <t>avverkningsanmälan</t>
        </is>
      </c>
      <c r="C32" t="inlineStr">
        <is>
          <t>Föryngringsavverkning</t>
        </is>
      </c>
      <c r="D32" s="1" t="n">
        <v>45616</v>
      </c>
      <c r="E32" s="1" t="n">
        <v>46251</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26440-2026</t>
        </is>
      </c>
      <c r="B33" t="inlineStr">
        <is>
          <t>avverkningsanmälan</t>
        </is>
      </c>
      <c r="C33" t="inlineStr">
        <is>
          <t>Avverkning för annat ändamål</t>
        </is>
      </c>
      <c r="D33" s="1" t="n">
        <v>46183</v>
      </c>
      <c r="E33" s="1" t="n">
        <v>46251</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46251</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46251</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46251</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46251</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46251</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46251</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29360-2026</t>
        </is>
      </c>
      <c r="B40" t="inlineStr">
        <is>
          <t>avverkningsanmälan</t>
        </is>
      </c>
      <c r="C40" t="inlineStr">
        <is>
          <t>Avverkning för annat ändamål</t>
        </is>
      </c>
      <c r="D40" s="1" t="n">
        <v>46203</v>
      </c>
      <c r="E40" s="1" t="n">
        <v>46251</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S 2138-2026</t>
        </is>
      </c>
      <c r="B41" t="inlineStr">
        <is>
          <t>samrådsanmälan</t>
        </is>
      </c>
      <c r="C41" t="inlineStr">
        <is>
          <t>Annan skogsbruksåtgärd</t>
        </is>
      </c>
      <c r="D41" s="1" t="n">
        <v>46246</v>
      </c>
      <c r="E41" s="1" t="n">
        <v>46251</v>
      </c>
      <c r="F41" t="inlineStr">
        <is>
          <t>KALMAR LÄN</t>
        </is>
      </c>
      <c r="G41" t="inlineStr">
        <is>
          <t>MÖRBYLÅNGA</t>
        </is>
      </c>
      <c r="I41" t="n">
        <v>5.4</v>
      </c>
      <c r="J41" t="n">
        <v>1</v>
      </c>
      <c r="K41" t="n">
        <v>1</v>
      </c>
      <c r="L41" t="n">
        <v>0</v>
      </c>
      <c r="M41" t="n">
        <v>0</v>
      </c>
      <c r="N41" t="n">
        <v>1</v>
      </c>
      <c r="O41" t="n">
        <v>0</v>
      </c>
      <c r="P41" t="n">
        <v>0</v>
      </c>
      <c r="Q41" t="n">
        <v>1</v>
      </c>
      <c r="R41" t="n">
        <v>1</v>
      </c>
      <c r="S41" t="n">
        <v>2</v>
      </c>
      <c r="T41" t="n">
        <v>2</v>
      </c>
      <c r="U41" t="n">
        <v>0</v>
      </c>
      <c r="V41" s="2" t="inlineStr">
        <is>
          <t>Ask
Ekoxe</t>
        </is>
      </c>
      <c r="W41">
        <f>HYPERLINK("https://klasma.github.io/Logging_0840/artfynd/S 2138-2026 artfynd.xlsx", "S 2138-2026")</f>
        <v/>
      </c>
      <c r="X41">
        <f>HYPERLINK("https://klasma.github.io/Logging_0840/kartor/S 2138-2026 karta.png", "S 2138-2026")</f>
        <v/>
      </c>
      <c r="Y41">
        <f>HYPERLINK("https://klasma.github.io/Logging_0840/kartor_geotiff/S 2138-2026 georefererad karta.tif", "S 2138-2026")</f>
        <v/>
      </c>
      <c r="AA41">
        <f>HYPERLINK("https://klasma.github.io/Logging_0840/klagomål/S 2138-2026 FSC-klagomål.docx", "S 2138-2026")</f>
        <v/>
      </c>
      <c r="AB41">
        <f>HYPERLINK("https://klasma.github.io/Logging_0840/klagomålsmail/S 2138-2026 FSC-klagomål mail.docx", "S 2138-2026")</f>
        <v/>
      </c>
      <c r="AC41">
        <f>HYPERLINK("https://klasma.github.io/Logging_0840/tillsyn/S 2138-2026 tillsynsbegäran.docx", "S 2138-2026")</f>
        <v/>
      </c>
      <c r="AD41">
        <f>HYPERLINK("https://klasma.github.io/Logging_0840/tillsynsmail/S 2138-2026 tillsynsbegäran mail.docx", "S 2138-2026")</f>
        <v/>
      </c>
    </row>
    <row r="42" ht="15" customHeight="1">
      <c r="A42" t="inlineStr">
        <is>
          <t>A 13040-2024</t>
        </is>
      </c>
      <c r="B42" t="inlineStr">
        <is>
          <t>avverkningsanmälan</t>
        </is>
      </c>
      <c r="C42" t="inlineStr">
        <is>
          <t>Avverkning för annat ändamål</t>
        </is>
      </c>
      <c r="D42" s="1" t="n">
        <v>45385</v>
      </c>
      <c r="E42" s="1" t="n">
        <v>46251</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13384-2023</t>
        </is>
      </c>
      <c r="B43" t="inlineStr">
        <is>
          <t>avverkningsanmälan</t>
        </is>
      </c>
      <c r="C43" t="inlineStr">
        <is>
          <t>Föryngringsavverkning</t>
        </is>
      </c>
      <c r="D43" s="1" t="n">
        <v>45005</v>
      </c>
      <c r="E43" s="1" t="n">
        <v>46251</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62183-2025</t>
        </is>
      </c>
      <c r="B44" t="inlineStr">
        <is>
          <t>avverkningsanmälan</t>
        </is>
      </c>
      <c r="C44" t="inlineStr">
        <is>
          <t>Föryngringsavverkning</t>
        </is>
      </c>
      <c r="D44" s="1" t="n">
        <v>46006</v>
      </c>
      <c r="E44" s="1" t="n">
        <v>46251</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24698-2023</t>
        </is>
      </c>
      <c r="B45" t="inlineStr">
        <is>
          <t>avverkningsanmälan</t>
        </is>
      </c>
      <c r="C45" t="inlineStr">
        <is>
          <t>Föryngringsavverkning</t>
        </is>
      </c>
      <c r="D45" s="1" t="n">
        <v>45084</v>
      </c>
      <c r="E45" s="1" t="n">
        <v>46251</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30492-2026</t>
        </is>
      </c>
      <c r="B46" t="inlineStr">
        <is>
          <t>avverkningsanmälan</t>
        </is>
      </c>
      <c r="C46" t="inlineStr">
        <is>
          <t>Avverkning för annat ändamål</t>
        </is>
      </c>
      <c r="D46" s="1" t="n">
        <v>46210</v>
      </c>
      <c r="E46" s="1" t="n">
        <v>46251</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26876-2022</t>
        </is>
      </c>
      <c r="B47" t="inlineStr">
        <is>
          <t>avverkningsanmälan</t>
        </is>
      </c>
      <c r="C47" t="inlineStr">
        <is>
          <t>Avverkning för annat ändamål</t>
        </is>
      </c>
      <c r="D47" s="1" t="n">
        <v>44740</v>
      </c>
      <c r="E47" s="1" t="n">
        <v>46251</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46251</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46251</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2026-08-17T01:45:55Z</dcterms:created>
  <dcterms:modified xmlns:dcterms="http://purl.org/dc/terms/" xmlns:xsi="http://www.w3.org/2001/XMLSchema-instance" xsi:type="dcterms:W3CDTF">2026-08-17T01:45:55Z</dcterms:modified>
</cp:coreProperties>
</file>