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45996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45996</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45996</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45996</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45996</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65163-2020</t>
        </is>
      </c>
      <c r="B7" s="1" t="n">
        <v>44172</v>
      </c>
      <c r="C7" s="1" t="n">
        <v>45996</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45996</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45996</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45996</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45996</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27636-2023</t>
        </is>
      </c>
      <c r="B12" s="1" t="n">
        <v>45097</v>
      </c>
      <c r="C12" s="1" t="n">
        <v>45996</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24778-2022</t>
        </is>
      </c>
      <c r="B13" s="1" t="n">
        <v>44728</v>
      </c>
      <c r="C13" s="1" t="n">
        <v>45996</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45996</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43714-2025</t>
        </is>
      </c>
      <c r="B15" s="1" t="n">
        <v>45912.40814814815</v>
      </c>
      <c r="C15" s="1" t="n">
        <v>45996</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39320-2024</t>
        </is>
      </c>
      <c r="B16" s="1" t="n">
        <v>45551</v>
      </c>
      <c r="C16" s="1" t="n">
        <v>45996</v>
      </c>
      <c r="D16" t="inlineStr">
        <is>
          <t>KALMAR LÄN</t>
        </is>
      </c>
      <c r="E16" t="inlineStr">
        <is>
          <t>MÖRBYLÅNGA</t>
        </is>
      </c>
      <c r="G16" t="n">
        <v>3.3</v>
      </c>
      <c r="H16" t="n">
        <v>1</v>
      </c>
      <c r="I16" t="n">
        <v>2</v>
      </c>
      <c r="J16" t="n">
        <v>1</v>
      </c>
      <c r="K16" t="n">
        <v>1</v>
      </c>
      <c r="L16" t="n">
        <v>0</v>
      </c>
      <c r="M16" t="n">
        <v>0</v>
      </c>
      <c r="N16" t="n">
        <v>0</v>
      </c>
      <c r="O16" t="n">
        <v>2</v>
      </c>
      <c r="P16" t="n">
        <v>1</v>
      </c>
      <c r="Q16" t="n">
        <v>5</v>
      </c>
      <c r="R16" s="2" t="inlineStr">
        <is>
          <t>Toppjungfrulin
Korskovall
Underviol
Vårärt
Skogsduva</t>
        </is>
      </c>
      <c r="S16">
        <f>HYPERLINK("https://klasma.github.io/Logging_0840/artfynd/A 39320-2024 artfynd.xlsx", "A 39320-2024")</f>
        <v/>
      </c>
      <c r="T16">
        <f>HYPERLINK("https://klasma.github.io/Logging_0840/kartor/A 39320-2024 karta.png", "A 39320-2024")</f>
        <v/>
      </c>
      <c r="V16">
        <f>HYPERLINK("https://klasma.github.io/Logging_0840/klagomål/A 39320-2024 FSC-klagomål.docx", "A 39320-2024")</f>
        <v/>
      </c>
      <c r="W16">
        <f>HYPERLINK("https://klasma.github.io/Logging_0840/klagomålsmail/A 39320-2024 FSC-klagomål mail.docx", "A 39320-2024")</f>
        <v/>
      </c>
      <c r="X16">
        <f>HYPERLINK("https://klasma.github.io/Logging_0840/tillsyn/A 39320-2024 tillsynsbegäran.docx", "A 39320-2024")</f>
        <v/>
      </c>
      <c r="Y16">
        <f>HYPERLINK("https://klasma.github.io/Logging_0840/tillsynsmail/A 39320-2024 tillsynsbegäran mail.docx", "A 39320-2024")</f>
        <v/>
      </c>
      <c r="Z16">
        <f>HYPERLINK("https://klasma.github.io/Logging_0840/fåglar/A 39320-2024 prioriterade fågelarter.docx", "A 39320-2024")</f>
        <v/>
      </c>
    </row>
    <row r="17" ht="15" customHeight="1">
      <c r="A17" t="inlineStr">
        <is>
          <t>A 54167-2024</t>
        </is>
      </c>
      <c r="B17" s="1" t="n">
        <v>45616.62196759259</v>
      </c>
      <c r="C17" s="1" t="n">
        <v>45996</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45996</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45996</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62231-2023</t>
        </is>
      </c>
      <c r="B20" s="1" t="n">
        <v>45267</v>
      </c>
      <c r="C20" s="1" t="n">
        <v>45996</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45996</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45996</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45996</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45996</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45996</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19459-2023</t>
        </is>
      </c>
      <c r="B26" s="1" t="n">
        <v>45049</v>
      </c>
      <c r="C26" s="1" t="n">
        <v>45996</v>
      </c>
      <c r="D26" t="inlineStr">
        <is>
          <t>KALMAR LÄN</t>
        </is>
      </c>
      <c r="E26" t="inlineStr">
        <is>
          <t>MÖRBYLÅNGA</t>
        </is>
      </c>
      <c r="G26" t="n">
        <v>1.6</v>
      </c>
      <c r="H26" t="n">
        <v>0</v>
      </c>
      <c r="I26" t="n">
        <v>0</v>
      </c>
      <c r="J26" t="n">
        <v>0</v>
      </c>
      <c r="K26" t="n">
        <v>1</v>
      </c>
      <c r="L26" t="n">
        <v>0</v>
      </c>
      <c r="M26" t="n">
        <v>0</v>
      </c>
      <c r="N26" t="n">
        <v>0</v>
      </c>
      <c r="O26" t="n">
        <v>1</v>
      </c>
      <c r="P26" t="n">
        <v>1</v>
      </c>
      <c r="Q26" t="n">
        <v>1</v>
      </c>
      <c r="R26" s="2" t="inlineStr">
        <is>
          <t>Luddvicker</t>
        </is>
      </c>
      <c r="S26">
        <f>HYPERLINK("https://klasma.github.io/Logging_0840/artfynd/A 19459-2023 artfynd.xlsx", "A 19459-2023")</f>
        <v/>
      </c>
      <c r="T26">
        <f>HYPERLINK("https://klasma.github.io/Logging_0840/kartor/A 19459-2023 karta.png", "A 19459-2023")</f>
        <v/>
      </c>
      <c r="V26">
        <f>HYPERLINK("https://klasma.github.io/Logging_0840/klagomål/A 19459-2023 FSC-klagomål.docx", "A 19459-2023")</f>
        <v/>
      </c>
      <c r="W26">
        <f>HYPERLINK("https://klasma.github.io/Logging_0840/klagomålsmail/A 19459-2023 FSC-klagomål mail.docx", "A 19459-2023")</f>
        <v/>
      </c>
      <c r="X26">
        <f>HYPERLINK("https://klasma.github.io/Logging_0840/tillsyn/A 19459-2023 tillsynsbegäran.docx", "A 19459-2023")</f>
        <v/>
      </c>
      <c r="Y26">
        <f>HYPERLINK("https://klasma.github.io/Logging_0840/tillsynsmail/A 19459-2023 tillsynsbegäran mail.docx", "A 19459-2023")</f>
        <v/>
      </c>
    </row>
    <row r="27" ht="15" customHeight="1">
      <c r="A27" t="inlineStr">
        <is>
          <t>A 43702-2025</t>
        </is>
      </c>
      <c r="B27" s="1" t="n">
        <v>45912.40270833333</v>
      </c>
      <c r="C27" s="1" t="n">
        <v>45996</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45996</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26876-2022</t>
        </is>
      </c>
      <c r="B29" s="1" t="n">
        <v>44740</v>
      </c>
      <c r="C29" s="1" t="n">
        <v>45996</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72167-2021</t>
        </is>
      </c>
      <c r="B30" s="1" t="n">
        <v>44544</v>
      </c>
      <c r="C30" s="1" t="n">
        <v>45996</v>
      </c>
      <c r="D30" t="inlineStr">
        <is>
          <t>KALMAR LÄN</t>
        </is>
      </c>
      <c r="E30" t="inlineStr">
        <is>
          <t>MÖRBYLÅNGA</t>
        </is>
      </c>
      <c r="G30" t="n">
        <v>3.5</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45996</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45996</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45996</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c r="A34" t="inlineStr">
        <is>
          <t>A 57407-2025</t>
        </is>
      </c>
      <c r="B34" s="1" t="n">
        <v>45980.44351851852</v>
      </c>
      <c r="C34" s="1" t="n">
        <v>45996</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2025-12-05T10:31:15Z</dcterms:created>
  <dcterms:modified xmlns:dcterms="http://purl.org/dc/terms/" xmlns:xsi="http://www.w3.org/2001/XMLSchema-instance" xsi:type="dcterms:W3CDTF">2025-12-05T10:31:15Z</dcterms:modified>
</cp:coreProperties>
</file>