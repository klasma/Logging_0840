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45512</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45512</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45512</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45512</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45512</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45512</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45512</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45512</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45512</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45512</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45512</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45512</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45512</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45512</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45512</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45512</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45512</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9270-2020</t>
        </is>
      </c>
      <c r="B19" s="1" t="n">
        <v>43880</v>
      </c>
      <c r="C19" s="1" t="n">
        <v>45512</v>
      </c>
      <c r="D19" t="inlineStr">
        <is>
          <t>KALMAR LÄN</t>
        </is>
      </c>
      <c r="E19" t="inlineStr">
        <is>
          <t>MÖRBYLÅNGA</t>
        </is>
      </c>
      <c r="G19" t="n">
        <v>2.8</v>
      </c>
      <c r="H19" t="n">
        <v>1</v>
      </c>
      <c r="I19" t="n">
        <v>3</v>
      </c>
      <c r="J19" t="n">
        <v>0</v>
      </c>
      <c r="K19" t="n">
        <v>0</v>
      </c>
      <c r="L19" t="n">
        <v>0</v>
      </c>
      <c r="M19" t="n">
        <v>0</v>
      </c>
      <c r="N19" t="n">
        <v>0</v>
      </c>
      <c r="O19" t="n">
        <v>0</v>
      </c>
      <c r="P19" t="n">
        <v>0</v>
      </c>
      <c r="Q19" t="n">
        <v>3</v>
      </c>
      <c r="R19" s="2" t="inlineStr">
        <is>
          <t>Murgröna
Skogsknipprot
Strävlosta</t>
        </is>
      </c>
      <c r="S19">
        <f>HYPERLINK("https://klasma.github.io/Logging_0840/artfynd/A 9270-2020 artfynd.xlsx", "A 9270-2020")</f>
        <v/>
      </c>
      <c r="T19">
        <f>HYPERLINK("https://klasma.github.io/Logging_0840/kartor/A 9270-2020 karta.png", "A 9270-2020")</f>
        <v/>
      </c>
      <c r="V19">
        <f>HYPERLINK("https://klasma.github.io/Logging_0840/klagomål/A 9270-2020 FSC-klagomål.docx", "A 9270-2020")</f>
        <v/>
      </c>
      <c r="W19">
        <f>HYPERLINK("https://klasma.github.io/Logging_0840/klagomålsmail/A 9270-2020 FSC-klagomål mail.docx", "A 9270-2020")</f>
        <v/>
      </c>
      <c r="X19">
        <f>HYPERLINK("https://klasma.github.io/Logging_0840/tillsyn/A 9270-2020 tillsynsbegäran.docx", "A 9270-2020")</f>
        <v/>
      </c>
      <c r="Y19">
        <f>HYPERLINK("https://klasma.github.io/Logging_0840/tillsynsmail/A 9270-2020 tillsynsbegäran mail.docx", "A 9270-2020")</f>
        <v/>
      </c>
    </row>
    <row r="20" ht="15" customHeight="1">
      <c r="A20" t="inlineStr">
        <is>
          <t>A 57704-2020</t>
        </is>
      </c>
      <c r="B20" s="1" t="n">
        <v>44140</v>
      </c>
      <c r="C20" s="1" t="n">
        <v>45512</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21219-2023</t>
        </is>
      </c>
      <c r="B21" s="1" t="n">
        <v>45062</v>
      </c>
      <c r="C21" s="1" t="n">
        <v>45512</v>
      </c>
      <c r="D21" t="inlineStr">
        <is>
          <t>KALMAR LÄN</t>
        </is>
      </c>
      <c r="E21" t="inlineStr">
        <is>
          <t>MÖRBYLÅNGA</t>
        </is>
      </c>
      <c r="G21" t="n">
        <v>3.6</v>
      </c>
      <c r="H21" t="n">
        <v>2</v>
      </c>
      <c r="I21" t="n">
        <v>1</v>
      </c>
      <c r="J21" t="n">
        <v>1</v>
      </c>
      <c r="K21" t="n">
        <v>0</v>
      </c>
      <c r="L21" t="n">
        <v>0</v>
      </c>
      <c r="M21" t="n">
        <v>0</v>
      </c>
      <c r="N21" t="n">
        <v>0</v>
      </c>
      <c r="O21" t="n">
        <v>1</v>
      </c>
      <c r="P21" t="n">
        <v>0</v>
      </c>
      <c r="Q21" t="n">
        <v>3</v>
      </c>
      <c r="R21" s="2" t="inlineStr">
        <is>
          <t>Spillkråka
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c r="Z21">
        <f>HYPERLINK("https://klasma.github.io/Logging_0840/fåglar/A 21219-2023 prioriterade fågelarter.docx", "A 21219-2023")</f>
        <v/>
      </c>
    </row>
    <row r="22" ht="15" customHeight="1">
      <c r="A22" t="inlineStr">
        <is>
          <t>A 3975-2021</t>
        </is>
      </c>
      <c r="B22" s="1" t="n">
        <v>44222</v>
      </c>
      <c r="C22" s="1" t="n">
        <v>45512</v>
      </c>
      <c r="D22" t="inlineStr">
        <is>
          <t>KALMAR LÄN</t>
        </is>
      </c>
      <c r="E22" t="inlineStr">
        <is>
          <t>MÖRBYLÅNGA</t>
        </is>
      </c>
      <c r="G22" t="n">
        <v>6</v>
      </c>
      <c r="H22" t="n">
        <v>0</v>
      </c>
      <c r="I22" t="n">
        <v>1</v>
      </c>
      <c r="J22" t="n">
        <v>0</v>
      </c>
      <c r="K22" t="n">
        <v>0</v>
      </c>
      <c r="L22" t="n">
        <v>0</v>
      </c>
      <c r="M22" t="n">
        <v>1</v>
      </c>
      <c r="N22" t="n">
        <v>0</v>
      </c>
      <c r="O22" t="n">
        <v>1</v>
      </c>
      <c r="P22" t="n">
        <v>1</v>
      </c>
      <c r="Q22" t="n">
        <v>2</v>
      </c>
      <c r="R22" s="2" t="inlineStr">
        <is>
          <t>Järnek
Sårläka</t>
        </is>
      </c>
      <c r="S22">
        <f>HYPERLINK("https://klasma.github.io/Logging_0840/artfynd/A 3975-2021 artfynd.xlsx", "A 3975-2021")</f>
        <v/>
      </c>
      <c r="T22">
        <f>HYPERLINK("https://klasma.github.io/Logging_0840/kartor/A 3975-2021 karta.png", "A 3975-2021")</f>
        <v/>
      </c>
      <c r="V22">
        <f>HYPERLINK("https://klasma.github.io/Logging_0840/klagomål/A 3975-2021 FSC-klagomål.docx", "A 3975-2021")</f>
        <v/>
      </c>
      <c r="W22">
        <f>HYPERLINK("https://klasma.github.io/Logging_0840/klagomålsmail/A 3975-2021 FSC-klagomål mail.docx", "A 3975-2021")</f>
        <v/>
      </c>
      <c r="X22">
        <f>HYPERLINK("https://klasma.github.io/Logging_0840/tillsyn/A 3975-2021 tillsynsbegäran.docx", "A 3975-2021")</f>
        <v/>
      </c>
      <c r="Y22">
        <f>HYPERLINK("https://klasma.github.io/Logging_0840/tillsynsmail/A 3975-2021 tillsynsbegäran mail.docx", "A 3975-2021")</f>
        <v/>
      </c>
    </row>
    <row r="23" ht="15" customHeight="1">
      <c r="A23" t="inlineStr">
        <is>
          <t>A 52906-2021</t>
        </is>
      </c>
      <c r="B23" s="1" t="n">
        <v>44467</v>
      </c>
      <c r="C23" s="1" t="n">
        <v>45512</v>
      </c>
      <c r="D23" t="inlineStr">
        <is>
          <t>KALMAR LÄN</t>
        </is>
      </c>
      <c r="E23" t="inlineStr">
        <is>
          <t>MÖRBYLÅNGA</t>
        </is>
      </c>
      <c r="G23" t="n">
        <v>2.1</v>
      </c>
      <c r="H23" t="n">
        <v>2</v>
      </c>
      <c r="I23" t="n">
        <v>0</v>
      </c>
      <c r="J23" t="n">
        <v>2</v>
      </c>
      <c r="K23" t="n">
        <v>0</v>
      </c>
      <c r="L23" t="n">
        <v>0</v>
      </c>
      <c r="M23" t="n">
        <v>0</v>
      </c>
      <c r="N23" t="n">
        <v>0</v>
      </c>
      <c r="O23" t="n">
        <v>2</v>
      </c>
      <c r="P23" t="n">
        <v>0</v>
      </c>
      <c r="Q23" t="n">
        <v>2</v>
      </c>
      <c r="R23" s="2" t="inlineStr">
        <is>
          <t>Gulsparv
Rödvingetrast</t>
        </is>
      </c>
      <c r="S23">
        <f>HYPERLINK("https://klasma.github.io/Logging_0840/artfynd/A 52906-2021 artfynd.xlsx", "A 52906-2021")</f>
        <v/>
      </c>
      <c r="T23">
        <f>HYPERLINK("https://klasma.github.io/Logging_0840/kartor/A 52906-2021 karta.png", "A 52906-2021")</f>
        <v/>
      </c>
      <c r="V23">
        <f>HYPERLINK("https://klasma.github.io/Logging_0840/klagomål/A 52906-2021 FSC-klagomål.docx", "A 52906-2021")</f>
        <v/>
      </c>
      <c r="W23">
        <f>HYPERLINK("https://klasma.github.io/Logging_0840/klagomålsmail/A 52906-2021 FSC-klagomål mail.docx", "A 52906-2021")</f>
        <v/>
      </c>
      <c r="X23">
        <f>HYPERLINK("https://klasma.github.io/Logging_0840/tillsyn/A 52906-2021 tillsynsbegäran.docx", "A 52906-2021")</f>
        <v/>
      </c>
      <c r="Y23">
        <f>HYPERLINK("https://klasma.github.io/Logging_0840/tillsynsmail/A 52906-2021 tillsynsbegäran mail.docx", "A 52906-2021")</f>
        <v/>
      </c>
      <c r="Z23">
        <f>HYPERLINK("https://klasma.github.io/Logging_0840/fåglar/A 52906-2021 prioriterade fågelarter.docx", "A 52906-2021")</f>
        <v/>
      </c>
    </row>
    <row r="24" ht="15" customHeight="1">
      <c r="A24" t="inlineStr">
        <is>
          <t>A 40361-2023</t>
        </is>
      </c>
      <c r="B24" s="1" t="n">
        <v>45169</v>
      </c>
      <c r="C24" s="1" t="n">
        <v>45512</v>
      </c>
      <c r="D24" t="inlineStr">
        <is>
          <t>KALMAR LÄN</t>
        </is>
      </c>
      <c r="E24" t="inlineStr">
        <is>
          <t>MÖRBYLÅNGA</t>
        </is>
      </c>
      <c r="G24" t="n">
        <v>1.1</v>
      </c>
      <c r="H24" t="n">
        <v>0</v>
      </c>
      <c r="I24" t="n">
        <v>0</v>
      </c>
      <c r="J24" t="n">
        <v>1</v>
      </c>
      <c r="K24" t="n">
        <v>0</v>
      </c>
      <c r="L24" t="n">
        <v>0</v>
      </c>
      <c r="M24" t="n">
        <v>1</v>
      </c>
      <c r="N24" t="n">
        <v>0</v>
      </c>
      <c r="O24" t="n">
        <v>2</v>
      </c>
      <c r="P24" t="n">
        <v>1</v>
      </c>
      <c r="Q24" t="n">
        <v>2</v>
      </c>
      <c r="R24" s="2" t="inlineStr">
        <is>
          <t>Lundalm
Ängsskära</t>
        </is>
      </c>
      <c r="S24">
        <f>HYPERLINK("https://klasma.github.io/Logging_0840/artfynd/A 40361-2023 artfynd.xlsx", "A 40361-2023")</f>
        <v/>
      </c>
      <c r="T24">
        <f>HYPERLINK("https://klasma.github.io/Logging_0840/kartor/A 40361-2023 karta.png", "A 40361-2023")</f>
        <v/>
      </c>
      <c r="V24">
        <f>HYPERLINK("https://klasma.github.io/Logging_0840/klagomål/A 40361-2023 FSC-klagomål.docx", "A 40361-2023")</f>
        <v/>
      </c>
      <c r="W24">
        <f>HYPERLINK("https://klasma.github.io/Logging_0840/klagomålsmail/A 40361-2023 FSC-klagomål mail.docx", "A 40361-2023")</f>
        <v/>
      </c>
      <c r="X24">
        <f>HYPERLINK("https://klasma.github.io/Logging_0840/tillsyn/A 40361-2023 tillsynsbegäran.docx", "A 40361-2023")</f>
        <v/>
      </c>
      <c r="Y24">
        <f>HYPERLINK("https://klasma.github.io/Logging_0840/tillsynsmail/A 40361-2023 tillsynsbegäran mail.docx", "A 40361-2023")</f>
        <v/>
      </c>
    </row>
    <row r="25" ht="15" customHeight="1">
      <c r="A25" t="inlineStr">
        <is>
          <t>A 62231-2023</t>
        </is>
      </c>
      <c r="B25" s="1" t="n">
        <v>45267</v>
      </c>
      <c r="C25" s="1" t="n">
        <v>45512</v>
      </c>
      <c r="D25" t="inlineStr">
        <is>
          <t>KALMAR LÄN</t>
        </is>
      </c>
      <c r="E25" t="inlineStr">
        <is>
          <t>MÖRBYLÅNGA</t>
        </is>
      </c>
      <c r="G25" t="n">
        <v>1.6</v>
      </c>
      <c r="H25" t="n">
        <v>1</v>
      </c>
      <c r="I25" t="n">
        <v>1</v>
      </c>
      <c r="J25" t="n">
        <v>0</v>
      </c>
      <c r="K25" t="n">
        <v>0</v>
      </c>
      <c r="L25" t="n">
        <v>0</v>
      </c>
      <c r="M25" t="n">
        <v>0</v>
      </c>
      <c r="N25" t="n">
        <v>0</v>
      </c>
      <c r="O25" t="n">
        <v>0</v>
      </c>
      <c r="P25" t="n">
        <v>0</v>
      </c>
      <c r="Q25" t="n">
        <v>2</v>
      </c>
      <c r="R25" s="2" t="inlineStr">
        <is>
          <t>Murgröna
Blåsippa</t>
        </is>
      </c>
      <c r="S25">
        <f>HYPERLINK("https://klasma.github.io/Logging_0840/artfynd/A 62231-2023 artfynd.xlsx", "A 62231-2023")</f>
        <v/>
      </c>
      <c r="T25">
        <f>HYPERLINK("https://klasma.github.io/Logging_0840/kartor/A 62231-2023 karta.png", "A 62231-2023")</f>
        <v/>
      </c>
      <c r="V25">
        <f>HYPERLINK("https://klasma.github.io/Logging_0840/klagomål/A 62231-2023 FSC-klagomål.docx", "A 62231-2023")</f>
        <v/>
      </c>
      <c r="W25">
        <f>HYPERLINK("https://klasma.github.io/Logging_0840/klagomålsmail/A 62231-2023 FSC-klagomål mail.docx", "A 62231-2023")</f>
        <v/>
      </c>
      <c r="X25">
        <f>HYPERLINK("https://klasma.github.io/Logging_0840/tillsyn/A 62231-2023 tillsynsbegäran.docx", "A 62231-2023")</f>
        <v/>
      </c>
      <c r="Y25">
        <f>HYPERLINK("https://klasma.github.io/Logging_0840/tillsynsmail/A 62231-2023 tillsynsbegäran mail.docx", "A 62231-2023")</f>
        <v/>
      </c>
    </row>
    <row r="26" ht="15" customHeight="1">
      <c r="A26" t="inlineStr">
        <is>
          <t>A 7667-2024</t>
        </is>
      </c>
      <c r="B26" s="1" t="n">
        <v>45348</v>
      </c>
      <c r="C26" s="1" t="n">
        <v>45512</v>
      </c>
      <c r="D26" t="inlineStr">
        <is>
          <t>KALMAR LÄN</t>
        </is>
      </c>
      <c r="E26" t="inlineStr">
        <is>
          <t>MÖRBYLÅNGA</t>
        </is>
      </c>
      <c r="G26" t="n">
        <v>3.8</v>
      </c>
      <c r="H26" t="n">
        <v>0</v>
      </c>
      <c r="I26" t="n">
        <v>1</v>
      </c>
      <c r="J26" t="n">
        <v>0</v>
      </c>
      <c r="K26" t="n">
        <v>0</v>
      </c>
      <c r="L26" t="n">
        <v>0</v>
      </c>
      <c r="M26" t="n">
        <v>1</v>
      </c>
      <c r="N26" t="n">
        <v>0</v>
      </c>
      <c r="O26" t="n">
        <v>1</v>
      </c>
      <c r="P26" t="n">
        <v>1</v>
      </c>
      <c r="Q26" t="n">
        <v>2</v>
      </c>
      <c r="R26" s="2" t="inlineStr">
        <is>
          <t>Järnek
Murgröna</t>
        </is>
      </c>
      <c r="S26">
        <f>HYPERLINK("https://klasma.github.io/Logging_0840/artfynd/A 7667-2024 artfynd.xlsx", "A 7667-2024")</f>
        <v/>
      </c>
      <c r="T26">
        <f>HYPERLINK("https://klasma.github.io/Logging_0840/kartor/A 7667-2024 karta.png", "A 7667-2024")</f>
        <v/>
      </c>
      <c r="V26">
        <f>HYPERLINK("https://klasma.github.io/Logging_0840/klagomål/A 7667-2024 FSC-klagomål.docx", "A 7667-2024")</f>
        <v/>
      </c>
      <c r="W26">
        <f>HYPERLINK("https://klasma.github.io/Logging_0840/klagomålsmail/A 7667-2024 FSC-klagomål mail.docx", "A 7667-2024")</f>
        <v/>
      </c>
      <c r="X26">
        <f>HYPERLINK("https://klasma.github.io/Logging_0840/tillsyn/A 7667-2024 tillsynsbegäran.docx", "A 7667-2024")</f>
        <v/>
      </c>
      <c r="Y26">
        <f>HYPERLINK("https://klasma.github.io/Logging_0840/tillsynsmail/A 7667-2024 tillsynsbegäran mail.docx", "A 7667-2024")</f>
        <v/>
      </c>
    </row>
    <row r="27" ht="15" customHeight="1">
      <c r="A27" t="inlineStr">
        <is>
          <t>A 39367-2019</t>
        </is>
      </c>
      <c r="B27" s="1" t="n">
        <v>43690</v>
      </c>
      <c r="C27" s="1" t="n">
        <v>45512</v>
      </c>
      <c r="D27" t="inlineStr">
        <is>
          <t>KALMAR LÄN</t>
        </is>
      </c>
      <c r="E27" t="inlineStr">
        <is>
          <t>MÖRBYLÅNGA</t>
        </is>
      </c>
      <c r="G27" t="n">
        <v>1</v>
      </c>
      <c r="H27" t="n">
        <v>1</v>
      </c>
      <c r="I27" t="n">
        <v>0</v>
      </c>
      <c r="J27" t="n">
        <v>0</v>
      </c>
      <c r="K27" t="n">
        <v>0</v>
      </c>
      <c r="L27" t="n">
        <v>0</v>
      </c>
      <c r="M27" t="n">
        <v>0</v>
      </c>
      <c r="N27" t="n">
        <v>0</v>
      </c>
      <c r="O27" t="n">
        <v>0</v>
      </c>
      <c r="P27" t="n">
        <v>0</v>
      </c>
      <c r="Q27" t="n">
        <v>1</v>
      </c>
      <c r="R27" s="2" t="inlineStr">
        <is>
          <t>Blåsippa</t>
        </is>
      </c>
      <c r="S27">
        <f>HYPERLINK("https://klasma.github.io/Logging_0840/artfynd/A 39367-2019 artfynd.xlsx", "A 39367-2019")</f>
        <v/>
      </c>
      <c r="T27">
        <f>HYPERLINK("https://klasma.github.io/Logging_0840/kartor/A 39367-2019 karta.png", "A 39367-2019")</f>
        <v/>
      </c>
      <c r="V27">
        <f>HYPERLINK("https://klasma.github.io/Logging_0840/klagomål/A 39367-2019 FSC-klagomål.docx", "A 39367-2019")</f>
        <v/>
      </c>
      <c r="W27">
        <f>HYPERLINK("https://klasma.github.io/Logging_0840/klagomålsmail/A 39367-2019 FSC-klagomål mail.docx", "A 39367-2019")</f>
        <v/>
      </c>
      <c r="X27">
        <f>HYPERLINK("https://klasma.github.io/Logging_0840/tillsyn/A 39367-2019 tillsynsbegäran.docx", "A 39367-2019")</f>
        <v/>
      </c>
      <c r="Y27">
        <f>HYPERLINK("https://klasma.github.io/Logging_0840/tillsynsmail/A 39367-2019 tillsynsbegäran mail.docx", "A 39367-2019")</f>
        <v/>
      </c>
    </row>
    <row r="28" ht="15" customHeight="1">
      <c r="A28" t="inlineStr">
        <is>
          <t>A 48001-2019</t>
        </is>
      </c>
      <c r="B28" s="1" t="n">
        <v>43725</v>
      </c>
      <c r="C28" s="1" t="n">
        <v>45512</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Murgröna</t>
        </is>
      </c>
      <c r="S28">
        <f>HYPERLINK("https://klasma.github.io/Logging_0840/artfynd/A 48001-2019 artfynd.xlsx", "A 48001-2019")</f>
        <v/>
      </c>
      <c r="T28">
        <f>HYPERLINK("https://klasma.github.io/Logging_0840/kartor/A 48001-2019 karta.png", "A 48001-2019")</f>
        <v/>
      </c>
      <c r="V28">
        <f>HYPERLINK("https://klasma.github.io/Logging_0840/klagomål/A 48001-2019 FSC-klagomål.docx", "A 48001-2019")</f>
        <v/>
      </c>
      <c r="W28">
        <f>HYPERLINK("https://klasma.github.io/Logging_0840/klagomålsmail/A 48001-2019 FSC-klagomål mail.docx", "A 48001-2019")</f>
        <v/>
      </c>
      <c r="X28">
        <f>HYPERLINK("https://klasma.github.io/Logging_0840/tillsyn/A 48001-2019 tillsynsbegäran.docx", "A 48001-2019")</f>
        <v/>
      </c>
      <c r="Y28">
        <f>HYPERLINK("https://klasma.github.io/Logging_0840/tillsynsmail/A 48001-2019 tillsynsbegäran mail.docx", "A 48001-2019")</f>
        <v/>
      </c>
    </row>
    <row r="29" ht="15" customHeight="1">
      <c r="A29" t="inlineStr">
        <is>
          <t>A 22170-2020</t>
        </is>
      </c>
      <c r="B29" s="1" t="n">
        <v>43956</v>
      </c>
      <c r="C29" s="1" t="n">
        <v>45512</v>
      </c>
      <c r="D29" t="inlineStr">
        <is>
          <t>KALMAR LÄN</t>
        </is>
      </c>
      <c r="E29" t="inlineStr">
        <is>
          <t>MÖRBYLÅNGA</t>
        </is>
      </c>
      <c r="G29" t="n">
        <v>1.4</v>
      </c>
      <c r="H29" t="n">
        <v>0</v>
      </c>
      <c r="I29" t="n">
        <v>1</v>
      </c>
      <c r="J29" t="n">
        <v>0</v>
      </c>
      <c r="K29" t="n">
        <v>0</v>
      </c>
      <c r="L29" t="n">
        <v>0</v>
      </c>
      <c r="M29" t="n">
        <v>0</v>
      </c>
      <c r="N29" t="n">
        <v>0</v>
      </c>
      <c r="O29" t="n">
        <v>0</v>
      </c>
      <c r="P29" t="n">
        <v>0</v>
      </c>
      <c r="Q29" t="n">
        <v>1</v>
      </c>
      <c r="R29" s="2" t="inlineStr">
        <is>
          <t>Hässleklocka</t>
        </is>
      </c>
      <c r="S29">
        <f>HYPERLINK("https://klasma.github.io/Logging_0840/artfynd/A 22170-2020 artfynd.xlsx", "A 22170-2020")</f>
        <v/>
      </c>
      <c r="T29">
        <f>HYPERLINK("https://klasma.github.io/Logging_0840/kartor/A 22170-2020 karta.png", "A 22170-2020")</f>
        <v/>
      </c>
      <c r="V29">
        <f>HYPERLINK("https://klasma.github.io/Logging_0840/klagomål/A 22170-2020 FSC-klagomål.docx", "A 22170-2020")</f>
        <v/>
      </c>
      <c r="W29">
        <f>HYPERLINK("https://klasma.github.io/Logging_0840/klagomålsmail/A 22170-2020 FSC-klagomål mail.docx", "A 22170-2020")</f>
        <v/>
      </c>
      <c r="X29">
        <f>HYPERLINK("https://klasma.github.io/Logging_0840/tillsyn/A 22170-2020 tillsynsbegäran.docx", "A 22170-2020")</f>
        <v/>
      </c>
      <c r="Y29">
        <f>HYPERLINK("https://klasma.github.io/Logging_0840/tillsynsmail/A 22170-2020 tillsynsbegäran mail.docx", "A 22170-2020")</f>
        <v/>
      </c>
    </row>
    <row r="30" ht="15" customHeight="1">
      <c r="A30" t="inlineStr">
        <is>
          <t>A 42694-2020</t>
        </is>
      </c>
      <c r="B30" s="1" t="n">
        <v>44077</v>
      </c>
      <c r="C30" s="1" t="n">
        <v>45512</v>
      </c>
      <c r="D30" t="inlineStr">
        <is>
          <t>KALMAR LÄN</t>
        </is>
      </c>
      <c r="E30" t="inlineStr">
        <is>
          <t>MÖRBYLÅNGA</t>
        </is>
      </c>
      <c r="G30" t="n">
        <v>0.9</v>
      </c>
      <c r="H30" t="n">
        <v>0</v>
      </c>
      <c r="I30" t="n">
        <v>0</v>
      </c>
      <c r="J30" t="n">
        <v>0</v>
      </c>
      <c r="K30" t="n">
        <v>1</v>
      </c>
      <c r="L30" t="n">
        <v>0</v>
      </c>
      <c r="M30" t="n">
        <v>0</v>
      </c>
      <c r="N30" t="n">
        <v>0</v>
      </c>
      <c r="O30" t="n">
        <v>1</v>
      </c>
      <c r="P30" t="n">
        <v>1</v>
      </c>
      <c r="Q30" t="n">
        <v>1</v>
      </c>
      <c r="R30" s="2" t="inlineStr">
        <is>
          <t>Gaffelfibbla</t>
        </is>
      </c>
      <c r="S30">
        <f>HYPERLINK("https://klasma.github.io/Logging_0840/artfynd/A 42694-2020 artfynd.xlsx", "A 42694-2020")</f>
        <v/>
      </c>
      <c r="T30">
        <f>HYPERLINK("https://klasma.github.io/Logging_0840/kartor/A 42694-2020 karta.png", "A 42694-2020")</f>
        <v/>
      </c>
      <c r="V30">
        <f>HYPERLINK("https://klasma.github.io/Logging_0840/klagomål/A 42694-2020 FSC-klagomål.docx", "A 42694-2020")</f>
        <v/>
      </c>
      <c r="W30">
        <f>HYPERLINK("https://klasma.github.io/Logging_0840/klagomålsmail/A 42694-2020 FSC-klagomål mail.docx", "A 42694-2020")</f>
        <v/>
      </c>
      <c r="X30">
        <f>HYPERLINK("https://klasma.github.io/Logging_0840/tillsyn/A 42694-2020 tillsynsbegäran.docx", "A 42694-2020")</f>
        <v/>
      </c>
      <c r="Y30">
        <f>HYPERLINK("https://klasma.github.io/Logging_0840/tillsynsmail/A 42694-2020 tillsynsbegäran mail.docx", "A 42694-2020")</f>
        <v/>
      </c>
    </row>
    <row r="31" ht="15" customHeight="1">
      <c r="A31" t="inlineStr">
        <is>
          <t>A 51244-2021</t>
        </is>
      </c>
      <c r="B31" s="1" t="n">
        <v>44460</v>
      </c>
      <c r="C31" s="1" t="n">
        <v>45512</v>
      </c>
      <c r="D31" t="inlineStr">
        <is>
          <t>KALMAR LÄN</t>
        </is>
      </c>
      <c r="E31" t="inlineStr">
        <is>
          <t>MÖRBYLÅNGA</t>
        </is>
      </c>
      <c r="G31" t="n">
        <v>1.9</v>
      </c>
      <c r="H31" t="n">
        <v>0</v>
      </c>
      <c r="I31" t="n">
        <v>0</v>
      </c>
      <c r="J31" t="n">
        <v>0</v>
      </c>
      <c r="K31" t="n">
        <v>0</v>
      </c>
      <c r="L31" t="n">
        <v>1</v>
      </c>
      <c r="M31" t="n">
        <v>0</v>
      </c>
      <c r="N31" t="n">
        <v>0</v>
      </c>
      <c r="O31" t="n">
        <v>1</v>
      </c>
      <c r="P31" t="n">
        <v>1</v>
      </c>
      <c r="Q31" t="n">
        <v>1</v>
      </c>
      <c r="R31" s="2" t="inlineStr">
        <is>
          <t>Stäppbandbi</t>
        </is>
      </c>
      <c r="S31">
        <f>HYPERLINK("https://klasma.github.io/Logging_0840/artfynd/A 51244-2021 artfynd.xlsx", "A 51244-2021")</f>
        <v/>
      </c>
      <c r="T31">
        <f>HYPERLINK("https://klasma.github.io/Logging_0840/kartor/A 51244-2021 karta.png", "A 51244-2021")</f>
        <v/>
      </c>
      <c r="V31">
        <f>HYPERLINK("https://klasma.github.io/Logging_0840/klagomål/A 51244-2021 FSC-klagomål.docx", "A 51244-2021")</f>
        <v/>
      </c>
      <c r="W31">
        <f>HYPERLINK("https://klasma.github.io/Logging_0840/klagomålsmail/A 51244-2021 FSC-klagomål mail.docx", "A 51244-2021")</f>
        <v/>
      </c>
      <c r="X31">
        <f>HYPERLINK("https://klasma.github.io/Logging_0840/tillsyn/A 51244-2021 tillsynsbegäran.docx", "A 51244-2021")</f>
        <v/>
      </c>
      <c r="Y31">
        <f>HYPERLINK("https://klasma.github.io/Logging_0840/tillsynsmail/A 51244-2021 tillsynsbegäran mail.docx", "A 51244-2021")</f>
        <v/>
      </c>
    </row>
    <row r="32" ht="15" customHeight="1">
      <c r="A32" t="inlineStr">
        <is>
          <t>A 54192-2021</t>
        </is>
      </c>
      <c r="B32" s="1" t="n">
        <v>44470</v>
      </c>
      <c r="C32" s="1" t="n">
        <v>45512</v>
      </c>
      <c r="D32" t="inlineStr">
        <is>
          <t>KALMAR LÄN</t>
        </is>
      </c>
      <c r="E32" t="inlineStr">
        <is>
          <t>MÖRBYLÅNGA</t>
        </is>
      </c>
      <c r="G32" t="n">
        <v>1.5</v>
      </c>
      <c r="H32" t="n">
        <v>0</v>
      </c>
      <c r="I32" t="n">
        <v>0</v>
      </c>
      <c r="J32" t="n">
        <v>1</v>
      </c>
      <c r="K32" t="n">
        <v>0</v>
      </c>
      <c r="L32" t="n">
        <v>0</v>
      </c>
      <c r="M32" t="n">
        <v>0</v>
      </c>
      <c r="N32" t="n">
        <v>0</v>
      </c>
      <c r="O32" t="n">
        <v>1</v>
      </c>
      <c r="P32" t="n">
        <v>0</v>
      </c>
      <c r="Q32" t="n">
        <v>1</v>
      </c>
      <c r="R32" s="2" t="inlineStr">
        <is>
          <t>Sminkrot</t>
        </is>
      </c>
      <c r="S32">
        <f>HYPERLINK("https://klasma.github.io/Logging_0840/artfynd/A 54192-2021 artfynd.xlsx", "A 54192-2021")</f>
        <v/>
      </c>
      <c r="T32">
        <f>HYPERLINK("https://klasma.github.io/Logging_0840/kartor/A 54192-2021 karta.png", "A 54192-2021")</f>
        <v/>
      </c>
      <c r="V32">
        <f>HYPERLINK("https://klasma.github.io/Logging_0840/klagomål/A 54192-2021 FSC-klagomål.docx", "A 54192-2021")</f>
        <v/>
      </c>
      <c r="W32">
        <f>HYPERLINK("https://klasma.github.io/Logging_0840/klagomålsmail/A 54192-2021 FSC-klagomål mail.docx", "A 54192-2021")</f>
        <v/>
      </c>
      <c r="X32">
        <f>HYPERLINK("https://klasma.github.io/Logging_0840/tillsyn/A 54192-2021 tillsynsbegäran.docx", "A 54192-2021")</f>
        <v/>
      </c>
      <c r="Y32">
        <f>HYPERLINK("https://klasma.github.io/Logging_0840/tillsynsmail/A 54192-2021 tillsynsbegäran mail.docx", "A 54192-2021")</f>
        <v/>
      </c>
    </row>
    <row r="33" ht="15" customHeight="1">
      <c r="A33" t="inlineStr">
        <is>
          <t>A 19459-2023</t>
        </is>
      </c>
      <c r="B33" s="1" t="n">
        <v>45049</v>
      </c>
      <c r="C33" s="1" t="n">
        <v>45512</v>
      </c>
      <c r="D33" t="inlineStr">
        <is>
          <t>KALMAR LÄN</t>
        </is>
      </c>
      <c r="E33" t="inlineStr">
        <is>
          <t>MÖRBYLÅNGA</t>
        </is>
      </c>
      <c r="G33" t="n">
        <v>1.6</v>
      </c>
      <c r="H33" t="n">
        <v>0</v>
      </c>
      <c r="I33" t="n">
        <v>0</v>
      </c>
      <c r="J33" t="n">
        <v>0</v>
      </c>
      <c r="K33" t="n">
        <v>1</v>
      </c>
      <c r="L33" t="n">
        <v>0</v>
      </c>
      <c r="M33" t="n">
        <v>0</v>
      </c>
      <c r="N33" t="n">
        <v>0</v>
      </c>
      <c r="O33" t="n">
        <v>1</v>
      </c>
      <c r="P33" t="n">
        <v>1</v>
      </c>
      <c r="Q33" t="n">
        <v>1</v>
      </c>
      <c r="R33" s="2" t="inlineStr">
        <is>
          <t>Luddvicker</t>
        </is>
      </c>
      <c r="S33">
        <f>HYPERLINK("https://klasma.github.io/Logging_0840/artfynd/A 19459-2023 artfynd.xlsx", "A 19459-2023")</f>
        <v/>
      </c>
      <c r="T33">
        <f>HYPERLINK("https://klasma.github.io/Logging_0840/kartor/A 19459-2023 karta.png", "A 19459-2023")</f>
        <v/>
      </c>
      <c r="V33">
        <f>HYPERLINK("https://klasma.github.io/Logging_0840/klagomål/A 19459-2023 FSC-klagomål.docx", "A 19459-2023")</f>
        <v/>
      </c>
      <c r="W33">
        <f>HYPERLINK("https://klasma.github.io/Logging_0840/klagomålsmail/A 19459-2023 FSC-klagomål mail.docx", "A 19459-2023")</f>
        <v/>
      </c>
      <c r="X33">
        <f>HYPERLINK("https://klasma.github.io/Logging_0840/tillsyn/A 19459-2023 tillsynsbegäran.docx", "A 19459-2023")</f>
        <v/>
      </c>
      <c r="Y33">
        <f>HYPERLINK("https://klasma.github.io/Logging_0840/tillsynsmail/A 19459-2023 tillsynsbegäran mail.docx", "A 19459-2023")</f>
        <v/>
      </c>
    </row>
    <row r="34" ht="15" customHeight="1">
      <c r="A34" t="inlineStr">
        <is>
          <t>A 24700-2023</t>
        </is>
      </c>
      <c r="B34" s="1" t="n">
        <v>45084</v>
      </c>
      <c r="C34" s="1" t="n">
        <v>45512</v>
      </c>
      <c r="D34" t="inlineStr">
        <is>
          <t>KALMAR LÄN</t>
        </is>
      </c>
      <c r="E34" t="inlineStr">
        <is>
          <t>MÖRBYLÅNGA</t>
        </is>
      </c>
      <c r="G34" t="n">
        <v>3</v>
      </c>
      <c r="H34" t="n">
        <v>0</v>
      </c>
      <c r="I34" t="n">
        <v>1</v>
      </c>
      <c r="J34" t="n">
        <v>0</v>
      </c>
      <c r="K34" t="n">
        <v>0</v>
      </c>
      <c r="L34" t="n">
        <v>0</v>
      </c>
      <c r="M34" t="n">
        <v>0</v>
      </c>
      <c r="N34" t="n">
        <v>0</v>
      </c>
      <c r="O34" t="n">
        <v>0</v>
      </c>
      <c r="P34" t="n">
        <v>0</v>
      </c>
      <c r="Q34" t="n">
        <v>1</v>
      </c>
      <c r="R34" s="2" t="inlineStr">
        <is>
          <t>Sårläka</t>
        </is>
      </c>
      <c r="S34">
        <f>HYPERLINK("https://klasma.github.io/Logging_0840/artfynd/A 24700-2023 artfynd.xlsx", "A 24700-2023")</f>
        <v/>
      </c>
      <c r="T34">
        <f>HYPERLINK("https://klasma.github.io/Logging_0840/kartor/A 24700-2023 karta.png", "A 24700-2023")</f>
        <v/>
      </c>
      <c r="V34">
        <f>HYPERLINK("https://klasma.github.io/Logging_0840/klagomål/A 24700-2023 FSC-klagomål.docx", "A 24700-2023")</f>
        <v/>
      </c>
      <c r="W34">
        <f>HYPERLINK("https://klasma.github.io/Logging_0840/klagomålsmail/A 24700-2023 FSC-klagomål mail.docx", "A 24700-2023")</f>
        <v/>
      </c>
      <c r="X34">
        <f>HYPERLINK("https://klasma.github.io/Logging_0840/tillsyn/A 24700-2023 tillsynsbegäran.docx", "A 24700-2023")</f>
        <v/>
      </c>
      <c r="Y34">
        <f>HYPERLINK("https://klasma.github.io/Logging_0840/tillsynsmail/A 24700-2023 tillsynsbegäran mail.docx", "A 24700-2023")</f>
        <v/>
      </c>
    </row>
    <row r="35" ht="15" customHeight="1">
      <c r="A35" t="inlineStr">
        <is>
          <t>A 24695-2023</t>
        </is>
      </c>
      <c r="B35" s="1" t="n">
        <v>45084</v>
      </c>
      <c r="C35" s="1" t="n">
        <v>45512</v>
      </c>
      <c r="D35" t="inlineStr">
        <is>
          <t>KALMAR LÄN</t>
        </is>
      </c>
      <c r="E35" t="inlineStr">
        <is>
          <t>MÖRBYLÅNGA</t>
        </is>
      </c>
      <c r="G35" t="n">
        <v>8.5</v>
      </c>
      <c r="H35" t="n">
        <v>0</v>
      </c>
      <c r="I35" t="n">
        <v>0</v>
      </c>
      <c r="J35" t="n">
        <v>0</v>
      </c>
      <c r="K35" t="n">
        <v>0</v>
      </c>
      <c r="L35" t="n">
        <v>1</v>
      </c>
      <c r="M35" t="n">
        <v>0</v>
      </c>
      <c r="N35" t="n">
        <v>0</v>
      </c>
      <c r="O35" t="n">
        <v>1</v>
      </c>
      <c r="P35" t="n">
        <v>1</v>
      </c>
      <c r="Q35" t="n">
        <v>1</v>
      </c>
      <c r="R35" s="2" t="inlineStr">
        <is>
          <t>Ask</t>
        </is>
      </c>
      <c r="S35">
        <f>HYPERLINK("https://klasma.github.io/Logging_0840/artfynd/A 24695-2023 artfynd.xlsx", "A 24695-2023")</f>
        <v/>
      </c>
      <c r="T35">
        <f>HYPERLINK("https://klasma.github.io/Logging_0840/kartor/A 24695-2023 karta.png", "A 24695-2023")</f>
        <v/>
      </c>
      <c r="V35">
        <f>HYPERLINK("https://klasma.github.io/Logging_0840/klagomål/A 24695-2023 FSC-klagomål.docx", "A 24695-2023")</f>
        <v/>
      </c>
      <c r="W35">
        <f>HYPERLINK("https://klasma.github.io/Logging_0840/klagomålsmail/A 24695-2023 FSC-klagomål mail.docx", "A 24695-2023")</f>
        <v/>
      </c>
      <c r="X35">
        <f>HYPERLINK("https://klasma.github.io/Logging_0840/tillsyn/A 24695-2023 tillsynsbegäran.docx", "A 24695-2023")</f>
        <v/>
      </c>
      <c r="Y35">
        <f>HYPERLINK("https://klasma.github.io/Logging_0840/tillsynsmail/A 24695-2023 tillsynsbegäran mail.docx", "A 24695-2023")</f>
        <v/>
      </c>
    </row>
    <row r="36" ht="15" customHeight="1">
      <c r="A36" t="inlineStr">
        <is>
          <t>A 24698-2023</t>
        </is>
      </c>
      <c r="B36" s="1" t="n">
        <v>45084</v>
      </c>
      <c r="C36" s="1" t="n">
        <v>45512</v>
      </c>
      <c r="D36" t="inlineStr">
        <is>
          <t>KALMAR LÄN</t>
        </is>
      </c>
      <c r="E36" t="inlineStr">
        <is>
          <t>MÖRBYLÅNGA</t>
        </is>
      </c>
      <c r="G36" t="n">
        <v>5.5</v>
      </c>
      <c r="H36" t="n">
        <v>0</v>
      </c>
      <c r="I36" t="n">
        <v>1</v>
      </c>
      <c r="J36" t="n">
        <v>0</v>
      </c>
      <c r="K36" t="n">
        <v>0</v>
      </c>
      <c r="L36" t="n">
        <v>0</v>
      </c>
      <c r="M36" t="n">
        <v>0</v>
      </c>
      <c r="N36" t="n">
        <v>0</v>
      </c>
      <c r="O36" t="n">
        <v>0</v>
      </c>
      <c r="P36" t="n">
        <v>0</v>
      </c>
      <c r="Q36" t="n">
        <v>1</v>
      </c>
      <c r="R36" s="2" t="inlineStr">
        <is>
          <t>Sårläka</t>
        </is>
      </c>
      <c r="S36">
        <f>HYPERLINK("https://klasma.github.io/Logging_0840/artfynd/A 24698-2023 artfynd.xlsx", "A 24698-2023")</f>
        <v/>
      </c>
      <c r="T36">
        <f>HYPERLINK("https://klasma.github.io/Logging_0840/kartor/A 24698-2023 karta.png", "A 24698-2023")</f>
        <v/>
      </c>
      <c r="V36">
        <f>HYPERLINK("https://klasma.github.io/Logging_0840/klagomål/A 24698-2023 FSC-klagomål.docx", "A 24698-2023")</f>
        <v/>
      </c>
      <c r="W36">
        <f>HYPERLINK("https://klasma.github.io/Logging_0840/klagomålsmail/A 24698-2023 FSC-klagomål mail.docx", "A 24698-2023")</f>
        <v/>
      </c>
      <c r="X36">
        <f>HYPERLINK("https://klasma.github.io/Logging_0840/tillsyn/A 24698-2023 tillsynsbegäran.docx", "A 24698-2023")</f>
        <v/>
      </c>
      <c r="Y36">
        <f>HYPERLINK("https://klasma.github.io/Logging_0840/tillsynsmail/A 24698-2023 tillsynsbegäran mail.docx", "A 24698-2023")</f>
        <v/>
      </c>
    </row>
    <row r="37" ht="15" customHeight="1">
      <c r="A37" t="inlineStr">
        <is>
          <t>A 24851-2019</t>
        </is>
      </c>
      <c r="B37" s="1" t="n">
        <v>43602</v>
      </c>
      <c r="C37" s="1" t="n">
        <v>45512</v>
      </c>
      <c r="D37" t="inlineStr">
        <is>
          <t>KALMAR LÄN</t>
        </is>
      </c>
      <c r="E37" t="inlineStr">
        <is>
          <t>MÖRBYLÅNGA</t>
        </is>
      </c>
      <c r="G37" t="n">
        <v>2</v>
      </c>
      <c r="H37" t="n">
        <v>0</v>
      </c>
      <c r="I37" t="n">
        <v>0</v>
      </c>
      <c r="J37" t="n">
        <v>0</v>
      </c>
      <c r="K37" t="n">
        <v>0</v>
      </c>
      <c r="L37" t="n">
        <v>0</v>
      </c>
      <c r="M37" t="n">
        <v>0</v>
      </c>
      <c r="N37" t="n">
        <v>0</v>
      </c>
      <c r="O37" t="n">
        <v>0</v>
      </c>
      <c r="P37" t="n">
        <v>0</v>
      </c>
      <c r="Q37" t="n">
        <v>0</v>
      </c>
      <c r="R37" s="2" t="inlineStr"/>
    </row>
    <row r="38" ht="15" customHeight="1">
      <c r="A38" t="inlineStr">
        <is>
          <t>A 26563-2019</t>
        </is>
      </c>
      <c r="B38" s="1" t="n">
        <v>43612</v>
      </c>
      <c r="C38" s="1" t="n">
        <v>45512</v>
      </c>
      <c r="D38" t="inlineStr">
        <is>
          <t>KALMAR LÄN</t>
        </is>
      </c>
      <c r="E38" t="inlineStr">
        <is>
          <t>MÖRBYLÅNGA</t>
        </is>
      </c>
      <c r="G38" t="n">
        <v>0.8</v>
      </c>
      <c r="H38" t="n">
        <v>0</v>
      </c>
      <c r="I38" t="n">
        <v>0</v>
      </c>
      <c r="J38" t="n">
        <v>0</v>
      </c>
      <c r="K38" t="n">
        <v>0</v>
      </c>
      <c r="L38" t="n">
        <v>0</v>
      </c>
      <c r="M38" t="n">
        <v>0</v>
      </c>
      <c r="N38" t="n">
        <v>0</v>
      </c>
      <c r="O38" t="n">
        <v>0</v>
      </c>
      <c r="P38" t="n">
        <v>0</v>
      </c>
      <c r="Q38" t="n">
        <v>0</v>
      </c>
      <c r="R38" s="2" t="inlineStr"/>
    </row>
    <row r="39" ht="15" customHeight="1">
      <c r="A39" t="inlineStr">
        <is>
          <t>A 33750-2019</t>
        </is>
      </c>
      <c r="B39" s="1" t="n">
        <v>43644</v>
      </c>
      <c r="C39" s="1" t="n">
        <v>45512</v>
      </c>
      <c r="D39" t="inlineStr">
        <is>
          <t>KALMAR LÄN</t>
        </is>
      </c>
      <c r="E39" t="inlineStr">
        <is>
          <t>MÖRBYLÅNGA</t>
        </is>
      </c>
      <c r="G39" t="n">
        <v>2.4</v>
      </c>
      <c r="H39" t="n">
        <v>0</v>
      </c>
      <c r="I39" t="n">
        <v>0</v>
      </c>
      <c r="J39" t="n">
        <v>0</v>
      </c>
      <c r="K39" t="n">
        <v>0</v>
      </c>
      <c r="L39" t="n">
        <v>0</v>
      </c>
      <c r="M39" t="n">
        <v>0</v>
      </c>
      <c r="N39" t="n">
        <v>0</v>
      </c>
      <c r="O39" t="n">
        <v>0</v>
      </c>
      <c r="P39" t="n">
        <v>0</v>
      </c>
      <c r="Q39" t="n">
        <v>0</v>
      </c>
      <c r="R39" s="2" t="inlineStr"/>
    </row>
    <row r="40" ht="15" customHeight="1">
      <c r="A40" t="inlineStr">
        <is>
          <t>A 47897-2019</t>
        </is>
      </c>
      <c r="B40" s="1" t="n">
        <v>43725</v>
      </c>
      <c r="C40" s="1" t="n">
        <v>45512</v>
      </c>
      <c r="D40" t="inlineStr">
        <is>
          <t>KALMAR LÄN</t>
        </is>
      </c>
      <c r="E40" t="inlineStr">
        <is>
          <t>MÖRBYLÅNGA</t>
        </is>
      </c>
      <c r="G40" t="n">
        <v>2.1</v>
      </c>
      <c r="H40" t="n">
        <v>0</v>
      </c>
      <c r="I40" t="n">
        <v>0</v>
      </c>
      <c r="J40" t="n">
        <v>0</v>
      </c>
      <c r="K40" t="n">
        <v>0</v>
      </c>
      <c r="L40" t="n">
        <v>0</v>
      </c>
      <c r="M40" t="n">
        <v>0</v>
      </c>
      <c r="N40" t="n">
        <v>0</v>
      </c>
      <c r="O40" t="n">
        <v>0</v>
      </c>
      <c r="P40" t="n">
        <v>0</v>
      </c>
      <c r="Q40" t="n">
        <v>0</v>
      </c>
      <c r="R40" s="2" t="inlineStr"/>
    </row>
    <row r="41" ht="15" customHeight="1">
      <c r="A41" t="inlineStr">
        <is>
          <t>A 47870-2019</t>
        </is>
      </c>
      <c r="B41" s="1" t="n">
        <v>43725</v>
      </c>
      <c r="C41" s="1" t="n">
        <v>45512</v>
      </c>
      <c r="D41" t="inlineStr">
        <is>
          <t>KALMAR LÄN</t>
        </is>
      </c>
      <c r="E41" t="inlineStr">
        <is>
          <t>MÖRBYLÅNGA</t>
        </is>
      </c>
      <c r="G41" t="n">
        <v>8.6</v>
      </c>
      <c r="H41" t="n">
        <v>0</v>
      </c>
      <c r="I41" t="n">
        <v>0</v>
      </c>
      <c r="J41" t="n">
        <v>0</v>
      </c>
      <c r="K41" t="n">
        <v>0</v>
      </c>
      <c r="L41" t="n">
        <v>0</v>
      </c>
      <c r="M41" t="n">
        <v>0</v>
      </c>
      <c r="N41" t="n">
        <v>0</v>
      </c>
      <c r="O41" t="n">
        <v>0</v>
      </c>
      <c r="P41" t="n">
        <v>0</v>
      </c>
      <c r="Q41" t="n">
        <v>0</v>
      </c>
      <c r="R41" s="2" t="inlineStr"/>
    </row>
    <row r="42" ht="15" customHeight="1">
      <c r="A42" t="inlineStr">
        <is>
          <t>A 53552-2019</t>
        </is>
      </c>
      <c r="B42" s="1" t="n">
        <v>43749</v>
      </c>
      <c r="C42" s="1" t="n">
        <v>45512</v>
      </c>
      <c r="D42" t="inlineStr">
        <is>
          <t>KALMAR LÄN</t>
        </is>
      </c>
      <c r="E42" t="inlineStr">
        <is>
          <t>MÖRBYLÅNGA</t>
        </is>
      </c>
      <c r="G42" t="n">
        <v>0.5</v>
      </c>
      <c r="H42" t="n">
        <v>0</v>
      </c>
      <c r="I42" t="n">
        <v>0</v>
      </c>
      <c r="J42" t="n">
        <v>0</v>
      </c>
      <c r="K42" t="n">
        <v>0</v>
      </c>
      <c r="L42" t="n">
        <v>0</v>
      </c>
      <c r="M42" t="n">
        <v>0</v>
      </c>
      <c r="N42" t="n">
        <v>0</v>
      </c>
      <c r="O42" t="n">
        <v>0</v>
      </c>
      <c r="P42" t="n">
        <v>0</v>
      </c>
      <c r="Q42" t="n">
        <v>0</v>
      </c>
      <c r="R42" s="2" t="inlineStr"/>
    </row>
    <row r="43" ht="15" customHeight="1">
      <c r="A43" t="inlineStr">
        <is>
          <t>A 65941-2019</t>
        </is>
      </c>
      <c r="B43" s="1" t="n">
        <v>43801</v>
      </c>
      <c r="C43" s="1" t="n">
        <v>45512</v>
      </c>
      <c r="D43" t="inlineStr">
        <is>
          <t>KALMAR LÄN</t>
        </is>
      </c>
      <c r="E43" t="inlineStr">
        <is>
          <t>MÖRBYLÅNGA</t>
        </is>
      </c>
      <c r="G43" t="n">
        <v>1.6</v>
      </c>
      <c r="H43" t="n">
        <v>0</v>
      </c>
      <c r="I43" t="n">
        <v>0</v>
      </c>
      <c r="J43" t="n">
        <v>0</v>
      </c>
      <c r="K43" t="n">
        <v>0</v>
      </c>
      <c r="L43" t="n">
        <v>0</v>
      </c>
      <c r="M43" t="n">
        <v>0</v>
      </c>
      <c r="N43" t="n">
        <v>0</v>
      </c>
      <c r="O43" t="n">
        <v>0</v>
      </c>
      <c r="P43" t="n">
        <v>0</v>
      </c>
      <c r="Q43" t="n">
        <v>0</v>
      </c>
      <c r="R43" s="2" t="inlineStr"/>
    </row>
    <row r="44" ht="15" customHeight="1">
      <c r="A44" t="inlineStr">
        <is>
          <t>A 33675-2020</t>
        </is>
      </c>
      <c r="B44" s="1" t="n">
        <v>44026</v>
      </c>
      <c r="C44" s="1" t="n">
        <v>45512</v>
      </c>
      <c r="D44" t="inlineStr">
        <is>
          <t>KALMAR LÄN</t>
        </is>
      </c>
      <c r="E44" t="inlineStr">
        <is>
          <t>MÖRBYLÅNGA</t>
        </is>
      </c>
      <c r="G44" t="n">
        <v>4.8</v>
      </c>
      <c r="H44" t="n">
        <v>0</v>
      </c>
      <c r="I44" t="n">
        <v>0</v>
      </c>
      <c r="J44" t="n">
        <v>0</v>
      </c>
      <c r="K44" t="n">
        <v>0</v>
      </c>
      <c r="L44" t="n">
        <v>0</v>
      </c>
      <c r="M44" t="n">
        <v>0</v>
      </c>
      <c r="N44" t="n">
        <v>0</v>
      </c>
      <c r="O44" t="n">
        <v>0</v>
      </c>
      <c r="P44" t="n">
        <v>0</v>
      </c>
      <c r="Q44" t="n">
        <v>0</v>
      </c>
      <c r="R44" s="2" t="inlineStr"/>
    </row>
    <row r="45" ht="15" customHeight="1">
      <c r="A45" t="inlineStr">
        <is>
          <t>A 61865-2020</t>
        </is>
      </c>
      <c r="B45" s="1" t="n">
        <v>44155</v>
      </c>
      <c r="C45" s="1" t="n">
        <v>45512</v>
      </c>
      <c r="D45" t="inlineStr">
        <is>
          <t>KALMAR LÄN</t>
        </is>
      </c>
      <c r="E45" t="inlineStr">
        <is>
          <t>MÖRBYLÅNGA</t>
        </is>
      </c>
      <c r="G45" t="n">
        <v>5</v>
      </c>
      <c r="H45" t="n">
        <v>0</v>
      </c>
      <c r="I45" t="n">
        <v>0</v>
      </c>
      <c r="J45" t="n">
        <v>0</v>
      </c>
      <c r="K45" t="n">
        <v>0</v>
      </c>
      <c r="L45" t="n">
        <v>0</v>
      </c>
      <c r="M45" t="n">
        <v>0</v>
      </c>
      <c r="N45" t="n">
        <v>0</v>
      </c>
      <c r="O45" t="n">
        <v>0</v>
      </c>
      <c r="P45" t="n">
        <v>0</v>
      </c>
      <c r="Q45" t="n">
        <v>0</v>
      </c>
      <c r="R45" s="2" t="inlineStr"/>
    </row>
    <row r="46" ht="15" customHeight="1">
      <c r="A46" t="inlineStr">
        <is>
          <t>A 31716-2021</t>
        </is>
      </c>
      <c r="B46" s="1" t="n">
        <v>44369</v>
      </c>
      <c r="C46" s="1" t="n">
        <v>45512</v>
      </c>
      <c r="D46" t="inlineStr">
        <is>
          <t>KALMAR LÄN</t>
        </is>
      </c>
      <c r="E46" t="inlineStr">
        <is>
          <t>MÖRBYLÅNGA</t>
        </is>
      </c>
      <c r="G46" t="n">
        <v>3.6</v>
      </c>
      <c r="H46" t="n">
        <v>0</v>
      </c>
      <c r="I46" t="n">
        <v>0</v>
      </c>
      <c r="J46" t="n">
        <v>0</v>
      </c>
      <c r="K46" t="n">
        <v>0</v>
      </c>
      <c r="L46" t="n">
        <v>0</v>
      </c>
      <c r="M46" t="n">
        <v>0</v>
      </c>
      <c r="N46" t="n">
        <v>0</v>
      </c>
      <c r="O46" t="n">
        <v>0</v>
      </c>
      <c r="P46" t="n">
        <v>0</v>
      </c>
      <c r="Q46" t="n">
        <v>0</v>
      </c>
      <c r="R46" s="2" t="inlineStr"/>
    </row>
    <row r="47" ht="15" customHeight="1">
      <c r="A47" t="inlineStr">
        <is>
          <t>A 53047-2021</t>
        </is>
      </c>
      <c r="B47" s="1" t="n">
        <v>44467</v>
      </c>
      <c r="C47" s="1" t="n">
        <v>45512</v>
      </c>
      <c r="D47" t="inlineStr">
        <is>
          <t>KALMAR LÄN</t>
        </is>
      </c>
      <c r="E47" t="inlineStr">
        <is>
          <t>MÖRBYLÅNGA</t>
        </is>
      </c>
      <c r="G47" t="n">
        <v>0.9</v>
      </c>
      <c r="H47" t="n">
        <v>0</v>
      </c>
      <c r="I47" t="n">
        <v>0</v>
      </c>
      <c r="J47" t="n">
        <v>0</v>
      </c>
      <c r="K47" t="n">
        <v>0</v>
      </c>
      <c r="L47" t="n">
        <v>0</v>
      </c>
      <c r="M47" t="n">
        <v>0</v>
      </c>
      <c r="N47" t="n">
        <v>0</v>
      </c>
      <c r="O47" t="n">
        <v>0</v>
      </c>
      <c r="P47" t="n">
        <v>0</v>
      </c>
      <c r="Q47" t="n">
        <v>0</v>
      </c>
      <c r="R47" s="2" t="inlineStr"/>
    </row>
    <row r="48" ht="15" customHeight="1">
      <c r="A48" t="inlineStr">
        <is>
          <t>A 72167-2021</t>
        </is>
      </c>
      <c r="B48" s="1" t="n">
        <v>44544</v>
      </c>
      <c r="C48" s="1" t="n">
        <v>45512</v>
      </c>
      <c r="D48" t="inlineStr">
        <is>
          <t>KALMAR LÄN</t>
        </is>
      </c>
      <c r="E48" t="inlineStr">
        <is>
          <t>MÖRBYLÅNGA</t>
        </is>
      </c>
      <c r="G48" t="n">
        <v>3.5</v>
      </c>
      <c r="H48" t="n">
        <v>0</v>
      </c>
      <c r="I48" t="n">
        <v>0</v>
      </c>
      <c r="J48" t="n">
        <v>0</v>
      </c>
      <c r="K48" t="n">
        <v>0</v>
      </c>
      <c r="L48" t="n">
        <v>0</v>
      </c>
      <c r="M48" t="n">
        <v>0</v>
      </c>
      <c r="N48" t="n">
        <v>0</v>
      </c>
      <c r="O48" t="n">
        <v>0</v>
      </c>
      <c r="P48" t="n">
        <v>0</v>
      </c>
      <c r="Q48" t="n">
        <v>0</v>
      </c>
      <c r="R48" s="2" t="inlineStr"/>
    </row>
    <row r="49" ht="15" customHeight="1">
      <c r="A49" t="inlineStr">
        <is>
          <t>A 8999-2022</t>
        </is>
      </c>
      <c r="B49" s="1" t="n">
        <v>44614</v>
      </c>
      <c r="C49" s="1" t="n">
        <v>45512</v>
      </c>
      <c r="D49" t="inlineStr">
        <is>
          <t>KALMAR LÄN</t>
        </is>
      </c>
      <c r="E49" t="inlineStr">
        <is>
          <t>MÖRBYLÅNGA</t>
        </is>
      </c>
      <c r="F49" t="inlineStr">
        <is>
          <t>Kyrkan</t>
        </is>
      </c>
      <c r="G49" t="n">
        <v>0.8</v>
      </c>
      <c r="H49" t="n">
        <v>0</v>
      </c>
      <c r="I49" t="n">
        <v>0</v>
      </c>
      <c r="J49" t="n">
        <v>0</v>
      </c>
      <c r="K49" t="n">
        <v>0</v>
      </c>
      <c r="L49" t="n">
        <v>0</v>
      </c>
      <c r="M49" t="n">
        <v>0</v>
      </c>
      <c r="N49" t="n">
        <v>0</v>
      </c>
      <c r="O49" t="n">
        <v>0</v>
      </c>
      <c r="P49" t="n">
        <v>0</v>
      </c>
      <c r="Q49" t="n">
        <v>0</v>
      </c>
      <c r="R49" s="2" t="inlineStr"/>
    </row>
    <row r="50" ht="15" customHeight="1">
      <c r="A50" t="inlineStr">
        <is>
          <t>A 26876-2022</t>
        </is>
      </c>
      <c r="B50" s="1" t="n">
        <v>44740</v>
      </c>
      <c r="C50" s="1" t="n">
        <v>45512</v>
      </c>
      <c r="D50" t="inlineStr">
        <is>
          <t>KALMAR LÄN</t>
        </is>
      </c>
      <c r="E50" t="inlineStr">
        <is>
          <t>MÖRBYLÅNGA</t>
        </is>
      </c>
      <c r="G50" t="n">
        <v>0.7</v>
      </c>
      <c r="H50" t="n">
        <v>0</v>
      </c>
      <c r="I50" t="n">
        <v>0</v>
      </c>
      <c r="J50" t="n">
        <v>0</v>
      </c>
      <c r="K50" t="n">
        <v>0</v>
      </c>
      <c r="L50" t="n">
        <v>0</v>
      </c>
      <c r="M50" t="n">
        <v>0</v>
      </c>
      <c r="N50" t="n">
        <v>0</v>
      </c>
      <c r="O50" t="n">
        <v>0</v>
      </c>
      <c r="P50" t="n">
        <v>0</v>
      </c>
      <c r="Q50" t="n">
        <v>0</v>
      </c>
      <c r="R50" s="2" t="inlineStr"/>
    </row>
    <row r="51" ht="15" customHeight="1">
      <c r="A51" t="inlineStr">
        <is>
          <t>A 13384-2023</t>
        </is>
      </c>
      <c r="B51" s="1" t="n">
        <v>45005</v>
      </c>
      <c r="C51" s="1" t="n">
        <v>45512</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63676-2023</t>
        </is>
      </c>
      <c r="B52" s="1" t="n">
        <v>45275</v>
      </c>
      <c r="C52" s="1" t="n">
        <v>45512</v>
      </c>
      <c r="D52" t="inlineStr">
        <is>
          <t>KALMAR LÄN</t>
        </is>
      </c>
      <c r="E52" t="inlineStr">
        <is>
          <t>MÖRBYLÅNGA</t>
        </is>
      </c>
      <c r="G52" t="n">
        <v>1</v>
      </c>
      <c r="H52" t="n">
        <v>0</v>
      </c>
      <c r="I52" t="n">
        <v>0</v>
      </c>
      <c r="J52" t="n">
        <v>0</v>
      </c>
      <c r="K52" t="n">
        <v>0</v>
      </c>
      <c r="L52" t="n">
        <v>0</v>
      </c>
      <c r="M52" t="n">
        <v>0</v>
      </c>
      <c r="N52" t="n">
        <v>0</v>
      </c>
      <c r="O52" t="n">
        <v>0</v>
      </c>
      <c r="P52" t="n">
        <v>0</v>
      </c>
      <c r="Q52" t="n">
        <v>0</v>
      </c>
      <c r="R52" s="2" t="inlineStr"/>
    </row>
    <row r="53" ht="15" customHeight="1">
      <c r="A53" t="inlineStr">
        <is>
          <t>A 4152-2024</t>
        </is>
      </c>
      <c r="B53" s="1" t="n">
        <v>45323</v>
      </c>
      <c r="C53" s="1" t="n">
        <v>45512</v>
      </c>
      <c r="D53" t="inlineStr">
        <is>
          <t>KALMAR LÄN</t>
        </is>
      </c>
      <c r="E53" t="inlineStr">
        <is>
          <t>MÖRBYLÅNGA</t>
        </is>
      </c>
      <c r="G53" t="n">
        <v>0.7</v>
      </c>
      <c r="H53" t="n">
        <v>0</v>
      </c>
      <c r="I53" t="n">
        <v>0</v>
      </c>
      <c r="J53" t="n">
        <v>0</v>
      </c>
      <c r="K53" t="n">
        <v>0</v>
      </c>
      <c r="L53" t="n">
        <v>0</v>
      </c>
      <c r="M53" t="n">
        <v>0</v>
      </c>
      <c r="N53" t="n">
        <v>0</v>
      </c>
      <c r="O53" t="n">
        <v>0</v>
      </c>
      <c r="P53" t="n">
        <v>0</v>
      </c>
      <c r="Q53" t="n">
        <v>0</v>
      </c>
      <c r="R53" s="2" t="inlineStr"/>
    </row>
    <row r="54" ht="15" customHeight="1">
      <c r="A54" t="inlineStr">
        <is>
          <t>A 13040-2024</t>
        </is>
      </c>
      <c r="B54" s="1" t="n">
        <v>45385</v>
      </c>
      <c r="C54" s="1" t="n">
        <v>45512</v>
      </c>
      <c r="D54" t="inlineStr">
        <is>
          <t>KALMAR LÄN</t>
        </is>
      </c>
      <c r="E54" t="inlineStr">
        <is>
          <t>MÖRBYLÅNGA</t>
        </is>
      </c>
      <c r="G54" t="n">
        <v>1.2</v>
      </c>
      <c r="H54" t="n">
        <v>0</v>
      </c>
      <c r="I54" t="n">
        <v>0</v>
      </c>
      <c r="J54" t="n">
        <v>0</v>
      </c>
      <c r="K54" t="n">
        <v>0</v>
      </c>
      <c r="L54" t="n">
        <v>0</v>
      </c>
      <c r="M54" t="n">
        <v>0</v>
      </c>
      <c r="N54" t="n">
        <v>0</v>
      </c>
      <c r="O54" t="n">
        <v>0</v>
      </c>
      <c r="P54" t="n">
        <v>0</v>
      </c>
      <c r="Q54" t="n">
        <v>0</v>
      </c>
      <c r="R54" s="2" t="inlineStr"/>
    </row>
    <row r="55">
      <c r="A55" t="inlineStr">
        <is>
          <t>A 15045-2024</t>
        </is>
      </c>
      <c r="B55" s="1" t="n">
        <v>45399</v>
      </c>
      <c r="C55" s="1" t="n">
        <v>45512</v>
      </c>
      <c r="D55" t="inlineStr">
        <is>
          <t>KALMAR LÄN</t>
        </is>
      </c>
      <c r="E55" t="inlineStr">
        <is>
          <t>MÖRBYLÅNGA</t>
        </is>
      </c>
      <c r="G55" t="n">
        <v>2.1</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2024-08-08T10:03:28Z</dcterms:created>
  <dcterms:modified xmlns:dcterms="http://purl.org/dc/terms/" xmlns:xsi="http://www.w3.org/2001/XMLSchema-instance" xsi:type="dcterms:W3CDTF">2024-08-08T10:03:28Z</dcterms:modified>
</cp:coreProperties>
</file>