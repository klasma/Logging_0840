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45965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45965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45965</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45965</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45965</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45965</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45965</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45965</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45965</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45965</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45965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45965</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24778-2022</t>
        </is>
      </c>
      <c r="B14" s="1" t="n">
        <v>44728</v>
      </c>
      <c r="C14" s="1" t="n">
        <v>45965</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39320-2024</t>
        </is>
      </c>
      <c r="B15" s="1" t="n">
        <v>45551</v>
      </c>
      <c r="C15" s="1" t="n">
        <v>45965</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45965</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45965</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45965</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61865-2020</t>
        </is>
      </c>
      <c r="B19" s="1" t="n">
        <v>44155</v>
      </c>
      <c r="C19" s="1" t="n">
        <v>45965</v>
      </c>
      <c r="D19" t="inlineStr">
        <is>
          <t>KALMAR LÄN</t>
        </is>
      </c>
      <c r="E19" t="inlineStr">
        <is>
          <t>MÖRBYLÅNGA</t>
        </is>
      </c>
      <c r="G19" t="n">
        <v>5</v>
      </c>
      <c r="H19" t="n">
        <v>4</v>
      </c>
      <c r="I19" t="n">
        <v>0</v>
      </c>
      <c r="J19" t="n">
        <v>2</v>
      </c>
      <c r="K19" t="n">
        <v>0</v>
      </c>
      <c r="L19" t="n">
        <v>0</v>
      </c>
      <c r="M19" t="n">
        <v>0</v>
      </c>
      <c r="N19" t="n">
        <v>0</v>
      </c>
      <c r="O19" t="n">
        <v>2</v>
      </c>
      <c r="P19" t="n">
        <v>0</v>
      </c>
      <c r="Q19" t="n">
        <v>4</v>
      </c>
      <c r="R19" s="2" t="inlineStr">
        <is>
          <t>Gulsparv
Mindre hackspett
Järnsparv
Kungsfågel</t>
        </is>
      </c>
      <c r="S19">
        <f>HYPERLINK("https://klasma.github.io/Logging_0840/artfynd/A 61865-2020 artfynd.xlsx", "A 61865-2020")</f>
        <v/>
      </c>
      <c r="T19">
        <f>HYPERLINK("https://klasma.github.io/Logging_0840/kartor/A 61865-2020 karta.png", "A 61865-2020")</f>
        <v/>
      </c>
      <c r="V19">
        <f>HYPERLINK("https://klasma.github.io/Logging_0840/klagomål/A 61865-2020 FSC-klagomål.docx", "A 61865-2020")</f>
        <v/>
      </c>
      <c r="W19">
        <f>HYPERLINK("https://klasma.github.io/Logging_0840/klagomålsmail/A 61865-2020 FSC-klagomål mail.docx", "A 61865-2020")</f>
        <v/>
      </c>
      <c r="X19">
        <f>HYPERLINK("https://klasma.github.io/Logging_0840/tillsyn/A 61865-2020 tillsynsbegäran.docx", "A 61865-2020")</f>
        <v/>
      </c>
      <c r="Y19">
        <f>HYPERLINK("https://klasma.github.io/Logging_0840/tillsynsmail/A 61865-2020 tillsynsbegäran mail.docx", "A 61865-2020")</f>
        <v/>
      </c>
      <c r="Z19">
        <f>HYPERLINK("https://klasma.github.io/Logging_0840/fåglar/A 61865-2020 prioriterade fågelarter.docx", "A 61865-2020")</f>
        <v/>
      </c>
    </row>
    <row r="20" ht="15" customHeight="1">
      <c r="A20" t="inlineStr">
        <is>
          <t>A 52906-2021</t>
        </is>
      </c>
      <c r="B20" s="1" t="n">
        <v>44467</v>
      </c>
      <c r="C20" s="1" t="n">
        <v>45965</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57704-2020</t>
        </is>
      </c>
      <c r="B21" s="1" t="n">
        <v>44140</v>
      </c>
      <c r="C21" s="1" t="n">
        <v>45965</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35242-2024</t>
        </is>
      </c>
      <c r="B22" s="1" t="n">
        <v>45530.55440972222</v>
      </c>
      <c r="C22" s="1" t="n">
        <v>45965</v>
      </c>
      <c r="D22" t="inlineStr">
        <is>
          <t>KALMAR LÄN</t>
        </is>
      </c>
      <c r="E22" t="inlineStr">
        <is>
          <t>MÖRBYLÅNGA</t>
        </is>
      </c>
      <c r="G22" t="n">
        <v>0.9</v>
      </c>
      <c r="H22" t="n">
        <v>1</v>
      </c>
      <c r="I22" t="n">
        <v>2</v>
      </c>
      <c r="J22" t="n">
        <v>0</v>
      </c>
      <c r="K22" t="n">
        <v>0</v>
      </c>
      <c r="L22" t="n">
        <v>1</v>
      </c>
      <c r="M22" t="n">
        <v>0</v>
      </c>
      <c r="N22" t="n">
        <v>0</v>
      </c>
      <c r="O22" t="n">
        <v>1</v>
      </c>
      <c r="P22" t="n">
        <v>1</v>
      </c>
      <c r="Q22" t="n">
        <v>3</v>
      </c>
      <c r="R22" s="2" t="inlineStr">
        <is>
          <t>Ryl
Grönpyrola
Skogsknipprot</t>
        </is>
      </c>
      <c r="S22">
        <f>HYPERLINK("https://klasma.github.io/Logging_0840/artfynd/A 35242-2024 artfynd.xlsx", "A 35242-2024")</f>
        <v/>
      </c>
      <c r="T22">
        <f>HYPERLINK("https://klasma.github.io/Logging_0840/kartor/A 35242-2024 karta.png", "A 35242-2024")</f>
        <v/>
      </c>
      <c r="V22">
        <f>HYPERLINK("https://klasma.github.io/Logging_0840/klagomål/A 35242-2024 FSC-klagomål.docx", "A 35242-2024")</f>
        <v/>
      </c>
      <c r="W22">
        <f>HYPERLINK("https://klasma.github.io/Logging_0840/klagomålsmail/A 35242-2024 FSC-klagomål mail.docx", "A 35242-2024")</f>
        <v/>
      </c>
      <c r="X22">
        <f>HYPERLINK("https://klasma.github.io/Logging_0840/tillsyn/A 35242-2024 tillsynsbegäran.docx", "A 35242-2024")</f>
        <v/>
      </c>
      <c r="Y22">
        <f>HYPERLINK("https://klasma.github.io/Logging_0840/tillsynsmail/A 35242-2024 tillsynsbegäran mail.docx", "A 35242-2024")</f>
        <v/>
      </c>
    </row>
    <row r="23" ht="15" customHeight="1">
      <c r="A23" t="inlineStr">
        <is>
          <t>A 40361-2023</t>
        </is>
      </c>
      <c r="B23" s="1" t="n">
        <v>45169</v>
      </c>
      <c r="C23" s="1" t="n">
        <v>45965</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15600-2025</t>
        </is>
      </c>
      <c r="B24" s="1" t="n">
        <v>45747</v>
      </c>
      <c r="C24" s="1" t="n">
        <v>45965</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62231-2023</t>
        </is>
      </c>
      <c r="B25" s="1" t="n">
        <v>45267</v>
      </c>
      <c r="C25" s="1" t="n">
        <v>45965</v>
      </c>
      <c r="D25" t="inlineStr">
        <is>
          <t>KALMAR LÄN</t>
        </is>
      </c>
      <c r="E25" t="inlineStr">
        <is>
          <t>MÖRBYLÅNGA</t>
        </is>
      </c>
      <c r="G25" t="n">
        <v>1.6</v>
      </c>
      <c r="H25" t="n">
        <v>1</v>
      </c>
      <c r="I25" t="n">
        <v>1</v>
      </c>
      <c r="J25" t="n">
        <v>0</v>
      </c>
      <c r="K25" t="n">
        <v>0</v>
      </c>
      <c r="L25" t="n">
        <v>0</v>
      </c>
      <c r="M25" t="n">
        <v>0</v>
      </c>
      <c r="N25" t="n">
        <v>0</v>
      </c>
      <c r="O25" t="n">
        <v>0</v>
      </c>
      <c r="P25" t="n">
        <v>0</v>
      </c>
      <c r="Q25" t="n">
        <v>2</v>
      </c>
      <c r="R25" s="2" t="inlineStr">
        <is>
          <t>Murgröna
Blåsippa</t>
        </is>
      </c>
      <c r="S25">
        <f>HYPERLINK("https://klasma.github.io/Logging_0840/artfynd/A 62231-2023 artfynd.xlsx", "A 62231-2023")</f>
        <v/>
      </c>
      <c r="T25">
        <f>HYPERLINK("https://klasma.github.io/Logging_0840/kartor/A 62231-2023 karta.png", "A 62231-2023")</f>
        <v/>
      </c>
      <c r="V25">
        <f>HYPERLINK("https://klasma.github.io/Logging_0840/klagomål/A 62231-2023 FSC-klagomål.docx", "A 62231-2023")</f>
        <v/>
      </c>
      <c r="W25">
        <f>HYPERLINK("https://klasma.github.io/Logging_0840/klagomålsmail/A 62231-2023 FSC-klagomål mail.docx", "A 62231-2023")</f>
        <v/>
      </c>
      <c r="X25">
        <f>HYPERLINK("https://klasma.github.io/Logging_0840/tillsyn/A 62231-2023 tillsynsbegäran.docx", "A 62231-2023")</f>
        <v/>
      </c>
      <c r="Y25">
        <f>HYPERLINK("https://klasma.github.io/Logging_0840/tillsynsmail/A 62231-2023 tillsynsbegäran mail.docx", "A 62231-2023")</f>
        <v/>
      </c>
    </row>
    <row r="26" ht="15" customHeight="1">
      <c r="A26" t="inlineStr">
        <is>
          <t>A 54192-2021</t>
        </is>
      </c>
      <c r="B26" s="1" t="n">
        <v>44470</v>
      </c>
      <c r="C26" s="1" t="n">
        <v>45965</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45965</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19459-2023</t>
        </is>
      </c>
      <c r="B28" s="1" t="n">
        <v>45049</v>
      </c>
      <c r="C28" s="1" t="n">
        <v>45965</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45965</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43702-2025</t>
        </is>
      </c>
      <c r="B30" s="1" t="n">
        <v>45912.40270833333</v>
      </c>
      <c r="C30" s="1" t="n">
        <v>45965</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Sårläka</t>
        </is>
      </c>
      <c r="S30">
        <f>HYPERLINK("https://klasma.github.io/Logging_0840/artfynd/A 43702-2025 artfynd.xlsx", "A 43702-2025")</f>
        <v/>
      </c>
      <c r="T30">
        <f>HYPERLINK("https://klasma.github.io/Logging_0840/kartor/A 43702-2025 karta.png", "A 43702-2025")</f>
        <v/>
      </c>
      <c r="V30">
        <f>HYPERLINK("https://klasma.github.io/Logging_0840/klagomål/A 43702-2025 FSC-klagomål.docx", "A 43702-2025")</f>
        <v/>
      </c>
      <c r="W30">
        <f>HYPERLINK("https://klasma.github.io/Logging_0840/klagomålsmail/A 43702-2025 FSC-klagomål mail.docx", "A 43702-2025")</f>
        <v/>
      </c>
      <c r="X30">
        <f>HYPERLINK("https://klasma.github.io/Logging_0840/tillsyn/A 43702-2025 tillsynsbegäran.docx", "A 43702-2025")</f>
        <v/>
      </c>
      <c r="Y30">
        <f>HYPERLINK("https://klasma.github.io/Logging_0840/tillsynsmail/A 43702-2025 tillsynsbegäran mail.docx", "A 43702-2025")</f>
        <v/>
      </c>
    </row>
    <row r="31" ht="15" customHeight="1">
      <c r="A31" t="inlineStr">
        <is>
          <t>A 26876-2022</t>
        </is>
      </c>
      <c r="B31" s="1" t="n">
        <v>44740</v>
      </c>
      <c r="C31" s="1" t="n">
        <v>45965</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45965</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45965</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45965</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45965</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43704-2025</t>
        </is>
      </c>
      <c r="B36" s="1" t="n">
        <v>45912.40490740741</v>
      </c>
      <c r="C36" s="1" t="n">
        <v>45965</v>
      </c>
      <c r="D36" t="inlineStr">
        <is>
          <t>KALMAR LÄN</t>
        </is>
      </c>
      <c r="E36" t="inlineStr">
        <is>
          <t>MÖRBYLÅNGA</t>
        </is>
      </c>
      <c r="G36" t="n">
        <v>2.7</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2025-11-04T10:09:12Z</dcterms:created>
  <dcterms:modified xmlns:dcterms="http://purl.org/dc/terms/" xmlns:xsi="http://www.w3.org/2001/XMLSchema-instance" xsi:type="dcterms:W3CDTF">2025-11-04T10:09:12Z</dcterms:modified>
</cp:coreProperties>
</file>