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46260</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46260</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46260</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46260</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46260</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46260</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46260</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46260</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46260</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46260</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46260</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46260</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46260</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46260</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60875-2025</t>
        </is>
      </c>
      <c r="B16" t="inlineStr">
        <is>
          <t>avverkningsanmälan</t>
        </is>
      </c>
      <c r="C16" t="inlineStr">
        <is>
          <t>Föryngringsavverkning</t>
        </is>
      </c>
      <c r="D16" s="1" t="n">
        <v>45999</v>
      </c>
      <c r="E16" s="1" t="n">
        <v>46260</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27636-2023</t>
        </is>
      </c>
      <c r="B17" t="inlineStr">
        <is>
          <t>avverkningsanmälan</t>
        </is>
      </c>
      <c r="C17" t="inlineStr">
        <is>
          <t>Avverkning för annat ändamål</t>
        </is>
      </c>
      <c r="D17" s="1" t="n">
        <v>45097</v>
      </c>
      <c r="E17" s="1" t="n">
        <v>46260</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46260</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46260</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46260</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46260</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46260</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46260</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46260</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46260</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46260</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46260</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46260</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46260</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46260</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46260</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46260</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46260</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46260</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46260</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34431-2026</t>
        </is>
      </c>
      <c r="B36" t="inlineStr">
        <is>
          <t>avverkningsanmälan</t>
        </is>
      </c>
      <c r="C36" t="inlineStr">
        <is>
          <t>Avverkning för annat ändamål</t>
        </is>
      </c>
      <c r="D36" s="1" t="n">
        <v>46254</v>
      </c>
      <c r="E36" s="1" t="n">
        <v>46260</v>
      </c>
      <c r="F36" t="inlineStr">
        <is>
          <t>KALMAR LÄN</t>
        </is>
      </c>
      <c r="G36" t="inlineStr">
        <is>
          <t>MÖRBYLÅNGA</t>
        </is>
      </c>
      <c r="I36" t="n">
        <v>8.300000000000001</v>
      </c>
      <c r="J36" t="n">
        <v>2</v>
      </c>
      <c r="K36" t="n">
        <v>0</v>
      </c>
      <c r="L36" t="n">
        <v>3</v>
      </c>
      <c r="M36" t="n">
        <v>0</v>
      </c>
      <c r="N36" t="n">
        <v>0</v>
      </c>
      <c r="O36" t="n">
        <v>0</v>
      </c>
      <c r="P36" t="n">
        <v>0</v>
      </c>
      <c r="Q36" t="n">
        <v>3</v>
      </c>
      <c r="R36" t="n">
        <v>0</v>
      </c>
      <c r="S36" t="n">
        <v>3</v>
      </c>
      <c r="T36" t="n">
        <v>4</v>
      </c>
      <c r="U36" t="n">
        <v>0</v>
      </c>
      <c r="V36" s="2" t="inlineStr">
        <is>
          <t>Entita
Mindre hackspett
Sandtimotej</t>
        </is>
      </c>
      <c r="W36">
        <f>HYPERLINK("https://klasma.github.io/Logging_0840/artfynd/A 34431-2026 artfynd.xlsx", "A 34431-2026")</f>
        <v/>
      </c>
      <c r="X36">
        <f>HYPERLINK("https://klasma.github.io/Logging_0840/kartor/A 34431-2026 karta.png", "A 34431-2026")</f>
        <v/>
      </c>
      <c r="Y36">
        <f>HYPERLINK("https://klasma.github.io/Logging_0840/kartor_geotiff/A 34431-2026 georefererad karta.tif", "A 34431-2026")</f>
        <v/>
      </c>
      <c r="AA36">
        <f>HYPERLINK("https://klasma.github.io/Logging_0840/klagomål/A 34431-2026 FSC-klagomål.docx", "A 34431-2026")</f>
        <v/>
      </c>
      <c r="AB36">
        <f>HYPERLINK("https://klasma.github.io/Logging_0840/klagomålsmail/A 34431-2026 FSC-klagomål mail.docx", "A 34431-2026")</f>
        <v/>
      </c>
      <c r="AC36">
        <f>HYPERLINK("https://klasma.github.io/Logging_0840/tillsyn/A 34431-2026 tillsynsbegäran.docx", "A 34431-2026")</f>
        <v/>
      </c>
      <c r="AD36">
        <f>HYPERLINK("https://klasma.github.io/Logging_0840/tillsynsmail/A 34431-2026 tillsynsbegäran mail.docx", "A 34431-2026")</f>
        <v/>
      </c>
      <c r="AE36">
        <f>HYPERLINK("https://klasma.github.io/Logging_0840/fåglar/A 34431-2026 prioriterade fågelarter.docx", "A 34431-2026")</f>
        <v/>
      </c>
    </row>
    <row r="37" ht="15" customHeight="1">
      <c r="A37" t="inlineStr">
        <is>
          <t>A 15600-2025</t>
        </is>
      </c>
      <c r="B37" t="inlineStr">
        <is>
          <t>avverkningsanmälan</t>
        </is>
      </c>
      <c r="C37" t="inlineStr">
        <is>
          <t>Avverkning för annat ändamål</t>
        </is>
      </c>
      <c r="D37" s="1" t="n">
        <v>45747</v>
      </c>
      <c r="E37" s="1" t="n">
        <v>46260</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54192-2021</t>
        </is>
      </c>
      <c r="B38" t="inlineStr">
        <is>
          <t>avverkningsanmälan</t>
        </is>
      </c>
      <c r="C38" t="inlineStr">
        <is>
          <t>Föryngringsavverkning</t>
        </is>
      </c>
      <c r="D38" s="1" t="n">
        <v>44470</v>
      </c>
      <c r="E38" s="1" t="n">
        <v>46260</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62231-2023</t>
        </is>
      </c>
      <c r="B39" t="inlineStr">
        <is>
          <t>avverkningsanmälan</t>
        </is>
      </c>
      <c r="C39" t="inlineStr">
        <is>
          <t>Avverkning för annat ändamål</t>
        </is>
      </c>
      <c r="D39" s="1" t="n">
        <v>45267</v>
      </c>
      <c r="E39" s="1" t="n">
        <v>46260</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29360-2026</t>
        </is>
      </c>
      <c r="B40" t="inlineStr">
        <is>
          <t>avverkningsanmälan</t>
        </is>
      </c>
      <c r="C40" t="inlineStr">
        <is>
          <t>Avverkning för annat ändamål</t>
        </is>
      </c>
      <c r="D40" s="1" t="n">
        <v>46203</v>
      </c>
      <c r="E40" s="1" t="n">
        <v>46260</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A 72167-2021</t>
        </is>
      </c>
      <c r="B41" t="inlineStr">
        <is>
          <t>avverkningsanmälan</t>
        </is>
      </c>
      <c r="C41" t="inlineStr">
        <is>
          <t>Föryngringsavverkning</t>
        </is>
      </c>
      <c r="D41" s="1" t="n">
        <v>44544</v>
      </c>
      <c r="E41" s="1" t="n">
        <v>46260</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46260</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62183-2025</t>
        </is>
      </c>
      <c r="B43" t="inlineStr">
        <is>
          <t>avverkningsanmälan</t>
        </is>
      </c>
      <c r="C43" t="inlineStr">
        <is>
          <t>Föryngringsavverkning</t>
        </is>
      </c>
      <c r="D43" s="1" t="n">
        <v>46006</v>
      </c>
      <c r="E43" s="1" t="n">
        <v>46260</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13040-2024</t>
        </is>
      </c>
      <c r="B44" t="inlineStr">
        <is>
          <t>avverkningsanmälan</t>
        </is>
      </c>
      <c r="C44" t="inlineStr">
        <is>
          <t>Avverkning för annat ändamål</t>
        </is>
      </c>
      <c r="D44" s="1" t="n">
        <v>45385</v>
      </c>
      <c r="E44" s="1" t="n">
        <v>46260</v>
      </c>
      <c r="F44" t="inlineStr">
        <is>
          <t>KALMAR LÄN</t>
        </is>
      </c>
      <c r="G44" t="inlineStr">
        <is>
          <t>MÖRBYLÅNGA</t>
        </is>
      </c>
      <c r="I44" t="n">
        <v>1.2</v>
      </c>
      <c r="J44" t="n">
        <v>0</v>
      </c>
      <c r="K44" t="n">
        <v>0</v>
      </c>
      <c r="L44" t="n">
        <v>0</v>
      </c>
      <c r="M44" t="n">
        <v>0</v>
      </c>
      <c r="N44" t="n">
        <v>1</v>
      </c>
      <c r="O44" t="n">
        <v>0</v>
      </c>
      <c r="P44" t="n">
        <v>0</v>
      </c>
      <c r="Q44" t="n">
        <v>1</v>
      </c>
      <c r="R44" t="n">
        <v>1</v>
      </c>
      <c r="S44" t="n">
        <v>1</v>
      </c>
      <c r="T44" t="n">
        <v>1</v>
      </c>
      <c r="U44" t="n">
        <v>1</v>
      </c>
      <c r="V44" s="2" t="inlineStr">
        <is>
          <t>Skogsalm</t>
        </is>
      </c>
      <c r="W44">
        <f>HYPERLINK("https://klasma.github.io/Logging_0840/artfynd/A 13040-2024 artfynd.xlsx", "A 13040-2024")</f>
        <v/>
      </c>
      <c r="X44">
        <f>HYPERLINK("https://klasma.github.io/Logging_0840/kartor/A 13040-2024 karta.png", "A 13040-2024")</f>
        <v/>
      </c>
      <c r="Y44">
        <f>HYPERLINK("https://klasma.github.io/Logging_0840/kartor_geotiff/A 13040-2024 georefererad karta.tif", "A 13040-2024")</f>
        <v/>
      </c>
      <c r="AA44">
        <f>HYPERLINK("https://klasma.github.io/Logging_0840/klagomål/A 13040-2024 FSC-klagomål.docx", "A 13040-2024")</f>
        <v/>
      </c>
      <c r="AB44">
        <f>HYPERLINK("https://klasma.github.io/Logging_0840/klagomålsmail/A 13040-2024 FSC-klagomål mail.docx", "A 13040-2024")</f>
        <v/>
      </c>
      <c r="AC44">
        <f>HYPERLINK("https://klasma.github.io/Logging_0840/tillsyn/A 13040-2024 tillsynsbegäran.docx", "A 13040-2024")</f>
        <v/>
      </c>
      <c r="AD44">
        <f>HYPERLINK("https://klasma.github.io/Logging_0840/tillsynsmail/A 13040-2024 tillsynsbegäran mail.docx", "A 13040-2024")</f>
        <v/>
      </c>
    </row>
    <row r="45" ht="15" customHeight="1">
      <c r="A45" t="inlineStr">
        <is>
          <t>A 13384-2023</t>
        </is>
      </c>
      <c r="B45" t="inlineStr">
        <is>
          <t>avverkningsanmälan</t>
        </is>
      </c>
      <c r="C45" t="inlineStr">
        <is>
          <t>Föryngringsavverkning</t>
        </is>
      </c>
      <c r="D45" s="1" t="n">
        <v>45005</v>
      </c>
      <c r="E45" s="1" t="n">
        <v>46260</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30492-2026</t>
        </is>
      </c>
      <c r="B46" t="inlineStr">
        <is>
          <t>avverkningsanmälan</t>
        </is>
      </c>
      <c r="C46" t="inlineStr">
        <is>
          <t>Avverkning för annat ändamål</t>
        </is>
      </c>
      <c r="D46" s="1" t="n">
        <v>46210</v>
      </c>
      <c r="E46" s="1" t="n">
        <v>46260</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24698-2023</t>
        </is>
      </c>
      <c r="B47" t="inlineStr">
        <is>
          <t>avverkningsanmälan</t>
        </is>
      </c>
      <c r="C47" t="inlineStr">
        <is>
          <t>Föryngringsavverkning</t>
        </is>
      </c>
      <c r="D47" s="1" t="n">
        <v>45084</v>
      </c>
      <c r="E47" s="1" t="n">
        <v>46260</v>
      </c>
      <c r="F47" t="inlineStr">
        <is>
          <t>KALMAR LÄN</t>
        </is>
      </c>
      <c r="G47" t="inlineStr">
        <is>
          <t>MÖRBYLÅNGA</t>
        </is>
      </c>
      <c r="I47" t="n">
        <v>5.5</v>
      </c>
      <c r="J47" t="n">
        <v>0</v>
      </c>
      <c r="K47" t="n">
        <v>0</v>
      </c>
      <c r="L47" t="n">
        <v>1</v>
      </c>
      <c r="M47" t="n">
        <v>0</v>
      </c>
      <c r="N47" t="n">
        <v>0</v>
      </c>
      <c r="O47" t="n">
        <v>0</v>
      </c>
      <c r="P47" t="n">
        <v>0</v>
      </c>
      <c r="Q47" t="n">
        <v>1</v>
      </c>
      <c r="R47" t="n">
        <v>0</v>
      </c>
      <c r="S47" t="n">
        <v>1</v>
      </c>
      <c r="T47" t="n">
        <v>1</v>
      </c>
      <c r="U47" t="n">
        <v>1</v>
      </c>
      <c r="V47" s="2" t="inlineStr">
        <is>
          <t>Sårläka</t>
        </is>
      </c>
      <c r="W47">
        <f>HYPERLINK("https://klasma.github.io/Logging_0840/artfynd/A 24698-2023 artfynd.xlsx", "A 24698-2023")</f>
        <v/>
      </c>
      <c r="X47">
        <f>HYPERLINK("https://klasma.github.io/Logging_0840/kartor/A 24698-2023 karta.png", "A 24698-2023")</f>
        <v/>
      </c>
      <c r="Y47">
        <f>HYPERLINK("https://klasma.github.io/Logging_0840/kartor_geotiff/A 24698-2023 georefererad karta.tif", "A 24698-2023")</f>
        <v/>
      </c>
      <c r="AA47">
        <f>HYPERLINK("https://klasma.github.io/Logging_0840/klagomål/A 24698-2023 FSC-klagomål.docx", "A 24698-2023")</f>
        <v/>
      </c>
      <c r="AB47">
        <f>HYPERLINK("https://klasma.github.io/Logging_0840/klagomålsmail/A 24698-2023 FSC-klagomål mail.docx", "A 24698-2023")</f>
        <v/>
      </c>
      <c r="AC47">
        <f>HYPERLINK("https://klasma.github.io/Logging_0840/tillsyn/A 24698-2023 tillsynsbegäran.docx", "A 24698-2023")</f>
        <v/>
      </c>
      <c r="AD47">
        <f>HYPERLINK("https://klasma.github.io/Logging_0840/tillsynsmail/A 24698-2023 tillsynsbegäran mail.docx", "A 24698-2023")</f>
        <v/>
      </c>
    </row>
    <row r="48" ht="15" customHeight="1">
      <c r="A48" t="inlineStr">
        <is>
          <t>A 26876-2022</t>
        </is>
      </c>
      <c r="B48" t="inlineStr">
        <is>
          <t>avverkningsanmälan</t>
        </is>
      </c>
      <c r="C48" t="inlineStr">
        <is>
          <t>Avverkning för annat ändamål</t>
        </is>
      </c>
      <c r="D48" s="1" t="n">
        <v>44740</v>
      </c>
      <c r="E48" s="1" t="n">
        <v>46260</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46260</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46260</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2026-08-26T01:55:29Z</dcterms:created>
  <dcterms:modified xmlns:dcterms="http://purl.org/dc/terms/" xmlns:xsi="http://www.w3.org/2001/XMLSchema-instance" xsi:type="dcterms:W3CDTF">2026-08-26T01:55:29Z</dcterms:modified>
</cp:coreProperties>
</file>