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46039</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46039</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46039</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46039</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46039</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46039</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46039</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46039</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8436-2021</t>
        </is>
      </c>
      <c r="B10" s="1" t="n">
        <v>44245</v>
      </c>
      <c r="C10" s="1" t="n">
        <v>46039</v>
      </c>
      <c r="D10" t="inlineStr">
        <is>
          <t>KALMAR LÄN</t>
        </is>
      </c>
      <c r="E10" t="inlineStr">
        <is>
          <t>MÖRBYLÅNGA</t>
        </is>
      </c>
      <c r="G10" t="n">
        <v>5.4</v>
      </c>
      <c r="H10" t="n">
        <v>2</v>
      </c>
      <c r="I10" t="n">
        <v>2</v>
      </c>
      <c r="J10" t="n">
        <v>2</v>
      </c>
      <c r="K10" t="n">
        <v>0</v>
      </c>
      <c r="L10" t="n">
        <v>1</v>
      </c>
      <c r="M10" t="n">
        <v>2</v>
      </c>
      <c r="N10" t="n">
        <v>0</v>
      </c>
      <c r="O10" t="n">
        <v>5</v>
      </c>
      <c r="P10" t="n">
        <v>3</v>
      </c>
      <c r="Q10" t="n">
        <v>7</v>
      </c>
      <c r="R10" s="2" t="inlineStr">
        <is>
          <t>Lundalm
Skogsalm
Ask
Grönsångare
Mindre hackspett
Hasselticka
Rikfruktig blemlav</t>
        </is>
      </c>
      <c r="S10">
        <f>HYPERLINK("https://klasma.github.io/Logging_0840/artfynd/A 8436-2021 artfynd.xlsx", "A 8436-2021")</f>
        <v/>
      </c>
      <c r="T10">
        <f>HYPERLINK("https://klasma.github.io/Logging_0840/kartor/A 8436-2021 karta.png", "A 8436-2021")</f>
        <v/>
      </c>
      <c r="V10">
        <f>HYPERLINK("https://klasma.github.io/Logging_0840/klagomål/A 8436-2021 FSC-klagomål.docx", "A 8436-2021")</f>
        <v/>
      </c>
      <c r="W10">
        <f>HYPERLINK("https://klasma.github.io/Logging_0840/klagomålsmail/A 8436-2021 FSC-klagomål mail.docx", "A 8436-2021")</f>
        <v/>
      </c>
      <c r="X10">
        <f>HYPERLINK("https://klasma.github.io/Logging_0840/tillsyn/A 8436-2021 tillsynsbegäran.docx", "A 8436-2021")</f>
        <v/>
      </c>
      <c r="Y10">
        <f>HYPERLINK("https://klasma.github.io/Logging_0840/tillsynsmail/A 8436-2021 tillsynsbegäran mail.docx", "A 8436-2021")</f>
        <v/>
      </c>
      <c r="Z10">
        <f>HYPERLINK("https://klasma.github.io/Logging_0840/fåglar/A 8436-2021 prioriterade fågelarter.docx", "A 8436-2021")</f>
        <v/>
      </c>
    </row>
    <row r="11" ht="15" customHeight="1">
      <c r="A11" t="inlineStr">
        <is>
          <t>A 24778-2022</t>
        </is>
      </c>
      <c r="B11" s="1" t="n">
        <v>44728</v>
      </c>
      <c r="C11" s="1" t="n">
        <v>46039</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27636-2023</t>
        </is>
      </c>
      <c r="B12" s="1" t="n">
        <v>45097</v>
      </c>
      <c r="C12" s="1" t="n">
        <v>46039</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38039-2022</t>
        </is>
      </c>
      <c r="B13" s="1" t="n">
        <v>44811</v>
      </c>
      <c r="C13" s="1" t="n">
        <v>46039</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38039-2022 artfynd.xlsx", "A 38039-2022")</f>
        <v/>
      </c>
      <c r="T13">
        <f>HYPERLINK("https://klasma.github.io/Logging_0840/kartor/A 38039-2022 karta.png", "A 38039-2022")</f>
        <v/>
      </c>
      <c r="V13">
        <f>HYPERLINK("https://klasma.github.io/Logging_0840/klagomål/A 38039-2022 FSC-klagomål.docx", "A 38039-2022")</f>
        <v/>
      </c>
      <c r="W13">
        <f>HYPERLINK("https://klasma.github.io/Logging_0840/klagomålsmail/A 38039-2022 FSC-klagomål mail.docx", "A 38039-2022")</f>
        <v/>
      </c>
      <c r="X13">
        <f>HYPERLINK("https://klasma.github.io/Logging_0840/tillsyn/A 38039-2022 tillsynsbegäran.docx", "A 38039-2022")</f>
        <v/>
      </c>
      <c r="Y13">
        <f>HYPERLINK("https://klasma.github.io/Logging_0840/tillsynsmail/A 38039-2022 tillsynsbegäran mail.docx", "A 38039-2022")</f>
        <v/>
      </c>
    </row>
    <row r="14" ht="15" customHeight="1">
      <c r="A14" t="inlineStr">
        <is>
          <t>A 43714-2025</t>
        </is>
      </c>
      <c r="B14" s="1" t="n">
        <v>45912.40814814815</v>
      </c>
      <c r="C14" s="1" t="n">
        <v>46039</v>
      </c>
      <c r="D14" t="inlineStr">
        <is>
          <t>KALMAR LÄN</t>
        </is>
      </c>
      <c r="E14" t="inlineStr">
        <is>
          <t>MÖRBYLÅNGA</t>
        </is>
      </c>
      <c r="G14" t="n">
        <v>7.9</v>
      </c>
      <c r="H14" t="n">
        <v>1</v>
      </c>
      <c r="I14" t="n">
        <v>1</v>
      </c>
      <c r="J14" t="n">
        <v>4</v>
      </c>
      <c r="K14" t="n">
        <v>0</v>
      </c>
      <c r="L14" t="n">
        <v>0</v>
      </c>
      <c r="M14" t="n">
        <v>0</v>
      </c>
      <c r="N14" t="n">
        <v>0</v>
      </c>
      <c r="O14" t="n">
        <v>4</v>
      </c>
      <c r="P14" t="n">
        <v>0</v>
      </c>
      <c r="Q14" t="n">
        <v>5</v>
      </c>
      <c r="R14" s="2" t="inlineStr">
        <is>
          <t>Alvarsandbi
Grönsångare
Mindre bastardsvärmare
Sexfläckig bastardsvärmare
Tibast</t>
        </is>
      </c>
      <c r="S14">
        <f>HYPERLINK("https://klasma.github.io/Logging_0840/artfynd/A 43714-2025 artfynd.xlsx", "A 43714-2025")</f>
        <v/>
      </c>
      <c r="T14">
        <f>HYPERLINK("https://klasma.github.io/Logging_0840/kartor/A 43714-2025 karta.png", "A 43714-2025")</f>
        <v/>
      </c>
      <c r="V14">
        <f>HYPERLINK("https://klasma.github.io/Logging_0840/klagomål/A 43714-2025 FSC-klagomål.docx", "A 43714-2025")</f>
        <v/>
      </c>
      <c r="W14">
        <f>HYPERLINK("https://klasma.github.io/Logging_0840/klagomålsmail/A 43714-2025 FSC-klagomål mail.docx", "A 43714-2025")</f>
        <v/>
      </c>
      <c r="X14">
        <f>HYPERLINK("https://klasma.github.io/Logging_0840/tillsyn/A 43714-2025 tillsynsbegäran.docx", "A 43714-2025")</f>
        <v/>
      </c>
      <c r="Y14">
        <f>HYPERLINK("https://klasma.github.io/Logging_0840/tillsynsmail/A 43714-2025 tillsynsbegäran mail.docx", "A 43714-2025")</f>
        <v/>
      </c>
      <c r="Z14">
        <f>HYPERLINK("https://klasma.github.io/Logging_0840/fåglar/A 43714-2025 prioriterade fågelarter.docx", "A 43714-2025")</f>
        <v/>
      </c>
    </row>
    <row r="15" ht="15" customHeight="1">
      <c r="A15" t="inlineStr">
        <is>
          <t>A 39320-2024</t>
        </is>
      </c>
      <c r="B15" s="1" t="n">
        <v>45551</v>
      </c>
      <c r="C15" s="1" t="n">
        <v>46039</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54167-2024</t>
        </is>
      </c>
      <c r="B16" s="1" t="n">
        <v>45616.62196759259</v>
      </c>
      <c r="C16" s="1" t="n">
        <v>46039</v>
      </c>
      <c r="D16" t="inlineStr">
        <is>
          <t>KALMAR LÄN</t>
        </is>
      </c>
      <c r="E16" t="inlineStr">
        <is>
          <t>MÖRBYLÅNGA</t>
        </is>
      </c>
      <c r="G16" t="n">
        <v>1.5</v>
      </c>
      <c r="H16" t="n">
        <v>2</v>
      </c>
      <c r="I16" t="n">
        <v>2</v>
      </c>
      <c r="J16" t="n">
        <v>0</v>
      </c>
      <c r="K16" t="n">
        <v>0</v>
      </c>
      <c r="L16" t="n">
        <v>1</v>
      </c>
      <c r="M16" t="n">
        <v>0</v>
      </c>
      <c r="N16" t="n">
        <v>0</v>
      </c>
      <c r="O16" t="n">
        <v>1</v>
      </c>
      <c r="P16" t="n">
        <v>1</v>
      </c>
      <c r="Q16" t="n">
        <v>4</v>
      </c>
      <c r="R16" s="2" t="inlineStr">
        <is>
          <t>Ask
Murgröna
Tvåblad
Blåsippa</t>
        </is>
      </c>
      <c r="S16">
        <f>HYPERLINK("https://klasma.github.io/Logging_0840/artfynd/A 54167-2024 artfynd.xlsx", "A 54167-2024")</f>
        <v/>
      </c>
      <c r="T16">
        <f>HYPERLINK("https://klasma.github.io/Logging_0840/kartor/A 54167-2024 karta.png", "A 54167-2024")</f>
        <v/>
      </c>
      <c r="V16">
        <f>HYPERLINK("https://klasma.github.io/Logging_0840/klagomål/A 54167-2024 FSC-klagomål.docx", "A 54167-2024")</f>
        <v/>
      </c>
      <c r="W16">
        <f>HYPERLINK("https://klasma.github.io/Logging_0840/klagomålsmail/A 54167-2024 FSC-klagomål mail.docx", "A 54167-2024")</f>
        <v/>
      </c>
      <c r="X16">
        <f>HYPERLINK("https://klasma.github.io/Logging_0840/tillsyn/A 54167-2024 tillsynsbegäran.docx", "A 54167-2024")</f>
        <v/>
      </c>
      <c r="Y16">
        <f>HYPERLINK("https://klasma.github.io/Logging_0840/tillsynsmail/A 54167-2024 tillsynsbegäran mail.docx", "A 54167-2024")</f>
        <v/>
      </c>
    </row>
    <row r="17" ht="15" customHeight="1">
      <c r="A17" t="inlineStr">
        <is>
          <t>A 60875-2025</t>
        </is>
      </c>
      <c r="B17" s="1" t="n">
        <v>45999.55524305555</v>
      </c>
      <c r="C17" s="1" t="n">
        <v>46039</v>
      </c>
      <c r="D17" t="inlineStr">
        <is>
          <t>KALMAR LÄN</t>
        </is>
      </c>
      <c r="E17" t="inlineStr">
        <is>
          <t>MÖRBYLÅNGA</t>
        </is>
      </c>
      <c r="G17" t="n">
        <v>2.1</v>
      </c>
      <c r="H17" t="n">
        <v>3</v>
      </c>
      <c r="I17" t="n">
        <v>0</v>
      </c>
      <c r="J17" t="n">
        <v>3</v>
      </c>
      <c r="K17" t="n">
        <v>0</v>
      </c>
      <c r="L17" t="n">
        <v>0</v>
      </c>
      <c r="M17" t="n">
        <v>0</v>
      </c>
      <c r="N17" t="n">
        <v>0</v>
      </c>
      <c r="O17" t="n">
        <v>3</v>
      </c>
      <c r="P17" t="n">
        <v>0</v>
      </c>
      <c r="Q17" t="n">
        <v>4</v>
      </c>
      <c r="R17" s="2" t="inlineStr">
        <is>
          <t>Grönsångare
Gulsparv
Svinrot
Gråkråka</t>
        </is>
      </c>
      <c r="S17">
        <f>HYPERLINK("https://klasma.github.io/Logging_0840/artfynd/A 60875-2025 artfynd.xlsx", "A 60875-2025")</f>
        <v/>
      </c>
      <c r="T17">
        <f>HYPERLINK("https://klasma.github.io/Logging_0840/kartor/A 60875-2025 karta.png", "A 60875-2025")</f>
        <v/>
      </c>
      <c r="V17">
        <f>HYPERLINK("https://klasma.github.io/Logging_0840/klagomål/A 60875-2025 FSC-klagomål.docx", "A 60875-2025")</f>
        <v/>
      </c>
      <c r="W17">
        <f>HYPERLINK("https://klasma.github.io/Logging_0840/klagomålsmail/A 60875-2025 FSC-klagomål mail.docx", "A 60875-2025")</f>
        <v/>
      </c>
      <c r="X17">
        <f>HYPERLINK("https://klasma.github.io/Logging_0840/tillsyn/A 60875-2025 tillsynsbegäran.docx", "A 60875-2025")</f>
        <v/>
      </c>
      <c r="Y17">
        <f>HYPERLINK("https://klasma.github.io/Logging_0840/tillsynsmail/A 60875-2025 tillsynsbegäran mail.docx", "A 60875-2025")</f>
        <v/>
      </c>
      <c r="Z17">
        <f>HYPERLINK("https://klasma.github.io/Logging_0840/fåglar/A 60875-2025 prioriterade fågelarter.docx", "A 60875-2025")</f>
        <v/>
      </c>
    </row>
    <row r="18" ht="15" customHeight="1">
      <c r="A18" t="inlineStr">
        <is>
          <t>A 52906-2021</t>
        </is>
      </c>
      <c r="B18" s="1" t="n">
        <v>44467</v>
      </c>
      <c r="C18" s="1" t="n">
        <v>46039</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61963-2025</t>
        </is>
      </c>
      <c r="B19" s="1" t="n">
        <v>46003</v>
      </c>
      <c r="C19" s="1" t="n">
        <v>46039</v>
      </c>
      <c r="D19" t="inlineStr">
        <is>
          <t>KALMAR LÄN</t>
        </is>
      </c>
      <c r="E19" t="inlineStr">
        <is>
          <t>MÖRBYLÅNGA</t>
        </is>
      </c>
      <c r="G19" t="n">
        <v>1.1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61963-2025 artfynd.xlsx", "A 61963-2025")</f>
        <v/>
      </c>
      <c r="T19">
        <f>HYPERLINK("https://klasma.github.io/Logging_0840/kartor/A 61963-2025 karta.png", "A 61963-2025")</f>
        <v/>
      </c>
      <c r="V19">
        <f>HYPERLINK("https://klasma.github.io/Logging_0840/klagomål/A 61963-2025 FSC-klagomål.docx", "A 61963-2025")</f>
        <v/>
      </c>
      <c r="W19">
        <f>HYPERLINK("https://klasma.github.io/Logging_0840/klagomålsmail/A 61963-2025 FSC-klagomål mail.docx", "A 61963-2025")</f>
        <v/>
      </c>
      <c r="X19">
        <f>HYPERLINK("https://klasma.github.io/Logging_0840/tillsyn/A 61963-2025 tillsynsbegäran.docx", "A 61963-2025")</f>
        <v/>
      </c>
      <c r="Y19">
        <f>HYPERLINK("https://klasma.github.io/Logging_0840/tillsynsmail/A 61963-2025 tillsynsbegäran mail.docx", "A 61963-2025")</f>
        <v/>
      </c>
      <c r="Z19">
        <f>HYPERLINK("https://klasma.github.io/Logging_0840/fåglar/A 61963-2025 prioriterade fågelarter.docx", "A 61963-2025")</f>
        <v/>
      </c>
    </row>
    <row r="20" ht="15" customHeight="1">
      <c r="A20" t="inlineStr">
        <is>
          <t>A 35242-2024</t>
        </is>
      </c>
      <c r="B20" s="1" t="n">
        <v>45530.55440972222</v>
      </c>
      <c r="C20" s="1" t="n">
        <v>46039</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15600-2025</t>
        </is>
      </c>
      <c r="B21" s="1" t="n">
        <v>45747</v>
      </c>
      <c r="C21" s="1" t="n">
        <v>46039</v>
      </c>
      <c r="D21" t="inlineStr">
        <is>
          <t>KALMAR LÄN</t>
        </is>
      </c>
      <c r="E21" t="inlineStr">
        <is>
          <t>MÖRBYLÅNGA</t>
        </is>
      </c>
      <c r="G21" t="n">
        <v>1.1</v>
      </c>
      <c r="H21" t="n">
        <v>0</v>
      </c>
      <c r="I21" t="n">
        <v>2</v>
      </c>
      <c r="J21" t="n">
        <v>0</v>
      </c>
      <c r="K21" t="n">
        <v>0</v>
      </c>
      <c r="L21" t="n">
        <v>0</v>
      </c>
      <c r="M21" t="n">
        <v>0</v>
      </c>
      <c r="N21" t="n">
        <v>0</v>
      </c>
      <c r="O21" t="n">
        <v>0</v>
      </c>
      <c r="P21" t="n">
        <v>0</v>
      </c>
      <c r="Q21" t="n">
        <v>2</v>
      </c>
      <c r="R21" s="2" t="inlineStr">
        <is>
          <t>Murgröna
Scharlakansvårskål agg.</t>
        </is>
      </c>
      <c r="S21">
        <f>HYPERLINK("https://klasma.github.io/Logging_0840/artfynd/A 15600-2025 artfynd.xlsx", "A 15600-2025")</f>
        <v/>
      </c>
      <c r="T21">
        <f>HYPERLINK("https://klasma.github.io/Logging_0840/kartor/A 15600-2025 karta.png", "A 15600-2025")</f>
        <v/>
      </c>
      <c r="V21">
        <f>HYPERLINK("https://klasma.github.io/Logging_0840/klagomål/A 15600-2025 FSC-klagomål.docx", "A 15600-2025")</f>
        <v/>
      </c>
      <c r="W21">
        <f>HYPERLINK("https://klasma.github.io/Logging_0840/klagomålsmail/A 15600-2025 FSC-klagomål mail.docx", "A 15600-2025")</f>
        <v/>
      </c>
      <c r="X21">
        <f>HYPERLINK("https://klasma.github.io/Logging_0840/tillsyn/A 15600-2025 tillsynsbegäran.docx", "A 15600-2025")</f>
        <v/>
      </c>
      <c r="Y21">
        <f>HYPERLINK("https://klasma.github.io/Logging_0840/tillsynsmail/A 15600-2025 tillsynsbegäran mail.docx", "A 15600-2025")</f>
        <v/>
      </c>
    </row>
    <row r="22" ht="15" customHeight="1">
      <c r="A22" t="inlineStr">
        <is>
          <t>A 62231-2023</t>
        </is>
      </c>
      <c r="B22" s="1" t="n">
        <v>45267</v>
      </c>
      <c r="C22" s="1" t="n">
        <v>46039</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40361-2023</t>
        </is>
      </c>
      <c r="B23" s="1" t="n">
        <v>45169</v>
      </c>
      <c r="C23" s="1" t="n">
        <v>46039</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54192-2021</t>
        </is>
      </c>
      <c r="B24" s="1" t="n">
        <v>44470</v>
      </c>
      <c r="C24" s="1" t="n">
        <v>46039</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46039</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43702-2025</t>
        </is>
      </c>
      <c r="B26" s="1" t="n">
        <v>45912.40270833333</v>
      </c>
      <c r="C26" s="1" t="n">
        <v>46039</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46039</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46039</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24698-2023</t>
        </is>
      </c>
      <c r="B29" s="1" t="n">
        <v>45084</v>
      </c>
      <c r="C29" s="1" t="n">
        <v>46039</v>
      </c>
      <c r="D29" t="inlineStr">
        <is>
          <t>KALMAR LÄN</t>
        </is>
      </c>
      <c r="E29" t="inlineStr">
        <is>
          <t>MÖRBYLÅNGA</t>
        </is>
      </c>
      <c r="G29" t="n">
        <v>5.5</v>
      </c>
      <c r="H29" t="n">
        <v>0</v>
      </c>
      <c r="I29" t="n">
        <v>1</v>
      </c>
      <c r="J29" t="n">
        <v>0</v>
      </c>
      <c r="K29" t="n">
        <v>0</v>
      </c>
      <c r="L29" t="n">
        <v>0</v>
      </c>
      <c r="M29" t="n">
        <v>0</v>
      </c>
      <c r="N29" t="n">
        <v>0</v>
      </c>
      <c r="O29" t="n">
        <v>0</v>
      </c>
      <c r="P29" t="n">
        <v>0</v>
      </c>
      <c r="Q29" t="n">
        <v>1</v>
      </c>
      <c r="R29" s="2" t="inlineStr">
        <is>
          <t>Sårläka</t>
        </is>
      </c>
      <c r="S29">
        <f>HYPERLINK("https://klasma.github.io/Logging_0840/artfynd/A 24698-2023 artfynd.xlsx", "A 24698-2023")</f>
        <v/>
      </c>
      <c r="T29">
        <f>HYPERLINK("https://klasma.github.io/Logging_0840/kartor/A 24698-2023 karta.png", "A 24698-2023")</f>
        <v/>
      </c>
      <c r="V29">
        <f>HYPERLINK("https://klasma.github.io/Logging_0840/klagomål/A 24698-2023 FSC-klagomål.docx", "A 24698-2023")</f>
        <v/>
      </c>
      <c r="W29">
        <f>HYPERLINK("https://klasma.github.io/Logging_0840/klagomålsmail/A 24698-2023 FSC-klagomål mail.docx", "A 24698-2023")</f>
        <v/>
      </c>
      <c r="X29">
        <f>HYPERLINK("https://klasma.github.io/Logging_0840/tillsyn/A 24698-2023 tillsynsbegäran.docx", "A 24698-2023")</f>
        <v/>
      </c>
      <c r="Y29">
        <f>HYPERLINK("https://klasma.github.io/Logging_0840/tillsynsmail/A 24698-2023 tillsynsbegäran mail.docx", "A 24698-2023")</f>
        <v/>
      </c>
    </row>
    <row r="30" ht="15" customHeight="1">
      <c r="A30" t="inlineStr">
        <is>
          <t>A 26876-2022</t>
        </is>
      </c>
      <c r="B30" s="1" t="n">
        <v>44740</v>
      </c>
      <c r="C30" s="1" t="n">
        <v>46039</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63676-2023</t>
        </is>
      </c>
      <c r="B31" s="1" t="n">
        <v>45275.64739583333</v>
      </c>
      <c r="C31" s="1" t="n">
        <v>46039</v>
      </c>
      <c r="D31" t="inlineStr">
        <is>
          <t>KALMAR LÄN</t>
        </is>
      </c>
      <c r="E31" t="inlineStr">
        <is>
          <t>MÖRBYLÅNGA</t>
        </is>
      </c>
      <c r="G31" t="n">
        <v>1</v>
      </c>
      <c r="H31" t="n">
        <v>0</v>
      </c>
      <c r="I31" t="n">
        <v>0</v>
      </c>
      <c r="J31" t="n">
        <v>0</v>
      </c>
      <c r="K31" t="n">
        <v>0</v>
      </c>
      <c r="L31" t="n">
        <v>0</v>
      </c>
      <c r="M31" t="n">
        <v>0</v>
      </c>
      <c r="N31" t="n">
        <v>0</v>
      </c>
      <c r="O31" t="n">
        <v>0</v>
      </c>
      <c r="P31" t="n">
        <v>0</v>
      </c>
      <c r="Q31" t="n">
        <v>0</v>
      </c>
      <c r="R31" s="2" t="inlineStr"/>
    </row>
    <row r="32" ht="15" customHeight="1">
      <c r="A32" t="inlineStr">
        <is>
          <t>A 57407-2025</t>
        </is>
      </c>
      <c r="B32" s="1" t="n">
        <v>45980.44351851852</v>
      </c>
      <c r="C32" s="1" t="n">
        <v>46039</v>
      </c>
      <c r="D32" t="inlineStr">
        <is>
          <t>KALMAR LÄN</t>
        </is>
      </c>
      <c r="E32" t="inlineStr">
        <is>
          <t>MÖRBYLÅNGA</t>
        </is>
      </c>
      <c r="G32" t="n">
        <v>0.8</v>
      </c>
      <c r="H32" t="n">
        <v>0</v>
      </c>
      <c r="I32" t="n">
        <v>0</v>
      </c>
      <c r="J32" t="n">
        <v>0</v>
      </c>
      <c r="K32" t="n">
        <v>0</v>
      </c>
      <c r="L32" t="n">
        <v>0</v>
      </c>
      <c r="M32" t="n">
        <v>0</v>
      </c>
      <c r="N32" t="n">
        <v>0</v>
      </c>
      <c r="O32" t="n">
        <v>0</v>
      </c>
      <c r="P32" t="n">
        <v>0</v>
      </c>
      <c r="Q32" t="n">
        <v>0</v>
      </c>
      <c r="R32" s="2" t="inlineStr"/>
    </row>
    <row r="33" ht="15" customHeight="1">
      <c r="A33" t="inlineStr">
        <is>
          <t>A 72167-2021</t>
        </is>
      </c>
      <c r="B33" s="1" t="n">
        <v>44544</v>
      </c>
      <c r="C33" s="1" t="n">
        <v>46039</v>
      </c>
      <c r="D33" t="inlineStr">
        <is>
          <t>KALMAR LÄN</t>
        </is>
      </c>
      <c r="E33" t="inlineStr">
        <is>
          <t>MÖRBYLÅNGA</t>
        </is>
      </c>
      <c r="G33" t="n">
        <v>3.5</v>
      </c>
      <c r="H33" t="n">
        <v>0</v>
      </c>
      <c r="I33" t="n">
        <v>0</v>
      </c>
      <c r="J33" t="n">
        <v>0</v>
      </c>
      <c r="K33" t="n">
        <v>0</v>
      </c>
      <c r="L33" t="n">
        <v>0</v>
      </c>
      <c r="M33" t="n">
        <v>0</v>
      </c>
      <c r="N33" t="n">
        <v>0</v>
      </c>
      <c r="O33" t="n">
        <v>0</v>
      </c>
      <c r="P33" t="n">
        <v>0</v>
      </c>
      <c r="Q33" t="n">
        <v>0</v>
      </c>
      <c r="R33" s="2" t="inlineStr"/>
    </row>
    <row r="34" ht="15" customHeight="1">
      <c r="A34" t="inlineStr">
        <is>
          <t>A 13040-2024</t>
        </is>
      </c>
      <c r="B34" s="1" t="n">
        <v>45385</v>
      </c>
      <c r="C34" s="1" t="n">
        <v>46039</v>
      </c>
      <c r="D34" t="inlineStr">
        <is>
          <t>KALMAR LÄN</t>
        </is>
      </c>
      <c r="E34" t="inlineStr">
        <is>
          <t>MÖRBYLÅNGA</t>
        </is>
      </c>
      <c r="G34" t="n">
        <v>1.2</v>
      </c>
      <c r="H34" t="n">
        <v>0</v>
      </c>
      <c r="I34" t="n">
        <v>0</v>
      </c>
      <c r="J34" t="n">
        <v>0</v>
      </c>
      <c r="K34" t="n">
        <v>0</v>
      </c>
      <c r="L34" t="n">
        <v>0</v>
      </c>
      <c r="M34" t="n">
        <v>0</v>
      </c>
      <c r="N34" t="n">
        <v>0</v>
      </c>
      <c r="O34" t="n">
        <v>0</v>
      </c>
      <c r="P34" t="n">
        <v>0</v>
      </c>
      <c r="Q34" t="n">
        <v>0</v>
      </c>
      <c r="R34" s="2" t="inlineStr"/>
    </row>
    <row r="35" ht="15" customHeight="1">
      <c r="A35" t="inlineStr">
        <is>
          <t>A 13384-2023</t>
        </is>
      </c>
      <c r="B35" s="1" t="n">
        <v>45005</v>
      </c>
      <c r="C35" s="1" t="n">
        <v>46039</v>
      </c>
      <c r="D35" t="inlineStr">
        <is>
          <t>KALMAR LÄN</t>
        </is>
      </c>
      <c r="E35" t="inlineStr">
        <is>
          <t>MÖRBYLÅNGA</t>
        </is>
      </c>
      <c r="G35" t="n">
        <v>0.9</v>
      </c>
      <c r="H35" t="n">
        <v>0</v>
      </c>
      <c r="I35" t="n">
        <v>0</v>
      </c>
      <c r="J35" t="n">
        <v>0</v>
      </c>
      <c r="K35" t="n">
        <v>0</v>
      </c>
      <c r="L35" t="n">
        <v>0</v>
      </c>
      <c r="M35" t="n">
        <v>0</v>
      </c>
      <c r="N35" t="n">
        <v>0</v>
      </c>
      <c r="O35" t="n">
        <v>0</v>
      </c>
      <c r="P35" t="n">
        <v>0</v>
      </c>
      <c r="Q35" t="n">
        <v>0</v>
      </c>
      <c r="R35" s="2" t="inlineStr"/>
    </row>
    <row r="36">
      <c r="A36" t="inlineStr">
        <is>
          <t>A 62183-2025</t>
        </is>
      </c>
      <c r="B36" s="1" t="n">
        <v>46006.5356712963</v>
      </c>
      <c r="C36" s="1" t="n">
        <v>46039</v>
      </c>
      <c r="D36" t="inlineStr">
        <is>
          <t>KALMAR LÄN</t>
        </is>
      </c>
      <c r="E36" t="inlineStr">
        <is>
          <t>MÖRBYLÅNGA</t>
        </is>
      </c>
      <c r="G36" t="n">
        <v>0.8</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2026-01-17T10:56:08Z</dcterms:created>
  <dcterms:modified xmlns:dcterms="http://purl.org/dc/terms/" xmlns:xsi="http://www.w3.org/2001/XMLSchema-instance" xsi:type="dcterms:W3CDTF">2026-01-17T10:56:08Z</dcterms:modified>
</cp:coreProperties>
</file>