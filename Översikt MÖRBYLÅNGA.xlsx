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46300</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46300</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46300</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46300</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46300</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46300</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46300</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46300</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46300</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46300</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46300</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46300</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46300</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60875-2025</t>
        </is>
      </c>
      <c r="B15" t="inlineStr">
        <is>
          <t>avverkningsanmälan</t>
        </is>
      </c>
      <c r="C15" t="inlineStr">
        <is>
          <t>Föryngringsavverkning</t>
        </is>
      </c>
      <c r="D15" s="1" t="n">
        <v>45999</v>
      </c>
      <c r="E15" s="1" t="n">
        <v>46300</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46300</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46300</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46300</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46300</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46300</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46300</v>
      </c>
      <c r="F21" t="inlineStr">
        <is>
          <t>KALMAR LÄN</t>
        </is>
      </c>
      <c r="G21" t="inlineStr">
        <is>
          <t>MÖRBYLÅNGA</t>
        </is>
      </c>
      <c r="I21" t="n">
        <v>4.7</v>
      </c>
      <c r="J21" t="n">
        <v>4</v>
      </c>
      <c r="K21" t="n">
        <v>2</v>
      </c>
      <c r="L21" t="n">
        <v>3</v>
      </c>
      <c r="M21" t="n">
        <v>3</v>
      </c>
      <c r="N21" t="n">
        <v>0</v>
      </c>
      <c r="O21" t="n">
        <v>0</v>
      </c>
      <c r="P21" t="n">
        <v>0</v>
      </c>
      <c r="Q21" t="n">
        <v>6</v>
      </c>
      <c r="R21" t="n">
        <v>3</v>
      </c>
      <c r="S21" t="n">
        <v>9</v>
      </c>
      <c r="T21" t="n">
        <v>12</v>
      </c>
      <c r="U21" t="n">
        <v>8</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46300</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46300</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46300</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46300</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46300</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46300</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46300</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46300</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46300</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46300</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46300</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46300</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34431-2026</t>
        </is>
      </c>
      <c r="B34" t="inlineStr">
        <is>
          <t>avverkningsanmälan</t>
        </is>
      </c>
      <c r="C34" t="inlineStr">
        <is>
          <t>Avverkning för annat ändamål</t>
        </is>
      </c>
      <c r="D34" s="1" t="n">
        <v>46254</v>
      </c>
      <c r="E34" s="1" t="n">
        <v>46300</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43702-2025</t>
        </is>
      </c>
      <c r="B35" t="inlineStr">
        <is>
          <t>avverkningsanmälan</t>
        </is>
      </c>
      <c r="C35" t="inlineStr">
        <is>
          <t>Föryngringsavverkning</t>
        </is>
      </c>
      <c r="D35" s="1" t="n">
        <v>45912</v>
      </c>
      <c r="E35" s="1" t="n">
        <v>46300</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29360-2026</t>
        </is>
      </c>
      <c r="B36" t="inlineStr">
        <is>
          <t>avverkningsanmälan</t>
        </is>
      </c>
      <c r="C36" t="inlineStr">
        <is>
          <t>Avverkning för annat ändamål</t>
        </is>
      </c>
      <c r="D36" s="1" t="n">
        <v>46203</v>
      </c>
      <c r="E36" s="1" t="n">
        <v>46300</v>
      </c>
      <c r="F36" t="inlineStr">
        <is>
          <t>KALMAR LÄN</t>
        </is>
      </c>
      <c r="G36" t="inlineStr">
        <is>
          <t>MÖRBYLÅNGA</t>
        </is>
      </c>
      <c r="I36" t="n">
        <v>2.9</v>
      </c>
      <c r="J36" t="n">
        <v>1</v>
      </c>
      <c r="K36" t="n">
        <v>1</v>
      </c>
      <c r="L36" t="n">
        <v>1</v>
      </c>
      <c r="M36" t="n">
        <v>1</v>
      </c>
      <c r="N36" t="n">
        <v>0</v>
      </c>
      <c r="O36" t="n">
        <v>0</v>
      </c>
      <c r="P36" t="n">
        <v>0</v>
      </c>
      <c r="Q36" t="n">
        <v>2</v>
      </c>
      <c r="R36" t="n">
        <v>1</v>
      </c>
      <c r="S36" t="n">
        <v>3</v>
      </c>
      <c r="T36" t="n">
        <v>3</v>
      </c>
      <c r="U36" t="n">
        <v>1</v>
      </c>
      <c r="V36" s="2" t="inlineStr">
        <is>
          <t>Mindre blåvinge
Silversmygare
Ekoxe</t>
        </is>
      </c>
      <c r="W36">
        <f>HYPERLINK("https://klasma.github.io/Logging_0840/artfynd/A 29360-2026 artfynd.xlsx", "A 29360-2026")</f>
        <v/>
      </c>
      <c r="X36">
        <f>HYPERLINK("https://klasma.github.io/Logging_0840/kartor/A 29360-2026 karta.png", "A 29360-2026")</f>
        <v/>
      </c>
      <c r="Y36">
        <f>HYPERLINK("https://klasma.github.io/Logging_0840/kartor_geotiff/A 29360-2026 georefererad karta.tif", "A 29360-2026")</f>
        <v/>
      </c>
      <c r="AA36">
        <f>HYPERLINK("https://klasma.github.io/Logging_0840/klagomål/A 29360-2026 FSC-klagomål.docx", "A 29360-2026")</f>
        <v/>
      </c>
      <c r="AB36">
        <f>HYPERLINK("https://klasma.github.io/Logging_0840/klagomålsmail/A 29360-2026 FSC-klagomål mail.docx", "A 29360-2026")</f>
        <v/>
      </c>
      <c r="AC36">
        <f>HYPERLINK("https://klasma.github.io/Logging_0840/tillsyn/A 29360-2026 tillsynsbegäran.docx", "A 29360-2026")</f>
        <v/>
      </c>
      <c r="AD36">
        <f>HYPERLINK("https://klasma.github.io/Logging_0840/tillsynsmail/A 29360-2026 tillsynsbegäran mail.docx", "A 29360-2026")</f>
        <v/>
      </c>
    </row>
    <row r="37" ht="15" customHeight="1">
      <c r="A37" t="inlineStr">
        <is>
          <t>A 15600-2025</t>
        </is>
      </c>
      <c r="B37" t="inlineStr">
        <is>
          <t>avverkningsanmälan</t>
        </is>
      </c>
      <c r="C37" t="inlineStr">
        <is>
          <t>Avverkning för annat ändamål</t>
        </is>
      </c>
      <c r="D37" s="1" t="n">
        <v>45747</v>
      </c>
      <c r="E37" s="1" t="n">
        <v>46300</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62231-2023</t>
        </is>
      </c>
      <c r="B38" t="inlineStr">
        <is>
          <t>avverkningsanmälan</t>
        </is>
      </c>
      <c r="C38" t="inlineStr">
        <is>
          <t>Avverkning för annat ändamål</t>
        </is>
      </c>
      <c r="D38" s="1" t="n">
        <v>45267</v>
      </c>
      <c r="E38" s="1" t="n">
        <v>46300</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46300</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S 2138-2026</t>
        </is>
      </c>
      <c r="B40" t="inlineStr">
        <is>
          <t>samrådsanmälan</t>
        </is>
      </c>
      <c r="C40" t="inlineStr">
        <is>
          <t>Annan skogsbruksåtgärd</t>
        </is>
      </c>
      <c r="D40" s="1" t="n">
        <v>46246</v>
      </c>
      <c r="E40" s="1" t="n">
        <v>46300</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62183-2025</t>
        </is>
      </c>
      <c r="B41" t="inlineStr">
        <is>
          <t>avverkningsanmälan</t>
        </is>
      </c>
      <c r="C41" t="inlineStr">
        <is>
          <t>Föryngringsavverkning</t>
        </is>
      </c>
      <c r="D41" s="1" t="n">
        <v>46006</v>
      </c>
      <c r="E41" s="1" t="n">
        <v>46300</v>
      </c>
      <c r="F41" t="inlineStr">
        <is>
          <t>KALMAR LÄN</t>
        </is>
      </c>
      <c r="G41" t="inlineStr">
        <is>
          <t>MÖRBYLÅNGA</t>
        </is>
      </c>
      <c r="I41" t="n">
        <v>0.8</v>
      </c>
      <c r="J41" t="n">
        <v>0</v>
      </c>
      <c r="K41" t="n">
        <v>0</v>
      </c>
      <c r="L41" t="n">
        <v>1</v>
      </c>
      <c r="M41" t="n">
        <v>0</v>
      </c>
      <c r="N41" t="n">
        <v>0</v>
      </c>
      <c r="O41" t="n">
        <v>0</v>
      </c>
      <c r="P41" t="n">
        <v>0</v>
      </c>
      <c r="Q41" t="n">
        <v>1</v>
      </c>
      <c r="R41" t="n">
        <v>0</v>
      </c>
      <c r="S41" t="n">
        <v>1</v>
      </c>
      <c r="T41" t="n">
        <v>1</v>
      </c>
      <c r="U41" t="n">
        <v>0</v>
      </c>
      <c r="V41" s="2" t="inlineStr">
        <is>
          <t>Kösa</t>
        </is>
      </c>
      <c r="W41">
        <f>HYPERLINK("https://klasma.github.io/Logging_0840/artfynd/A 62183-2025 artfynd.xlsx", "A 62183-2025")</f>
        <v/>
      </c>
      <c r="X41">
        <f>HYPERLINK("https://klasma.github.io/Logging_0840/kartor/A 62183-2025 karta.png", "A 62183-2025")</f>
        <v/>
      </c>
      <c r="Y41">
        <f>HYPERLINK("https://klasma.github.io/Logging_0840/kartor_geotiff/A 62183-2025 georefererad karta.tif", "A 62183-2025")</f>
        <v/>
      </c>
      <c r="AA41">
        <f>HYPERLINK("https://klasma.github.io/Logging_0840/klagomål/A 62183-2025 FSC-klagomål.docx", "A 62183-2025")</f>
        <v/>
      </c>
      <c r="AB41">
        <f>HYPERLINK("https://klasma.github.io/Logging_0840/klagomålsmail/A 62183-2025 FSC-klagomål mail.docx", "A 62183-2025")</f>
        <v/>
      </c>
      <c r="AC41">
        <f>HYPERLINK("https://klasma.github.io/Logging_0840/tillsyn/A 62183-2025 tillsynsbegäran.docx", "A 62183-2025")</f>
        <v/>
      </c>
      <c r="AD41">
        <f>HYPERLINK("https://klasma.github.io/Logging_0840/tillsynsmail/A 62183-2025 tillsynsbegäran mail.docx", "A 62183-2025")</f>
        <v/>
      </c>
    </row>
    <row r="42" ht="15" customHeight="1">
      <c r="A42" t="inlineStr">
        <is>
          <t>A 24698-2023</t>
        </is>
      </c>
      <c r="B42" t="inlineStr">
        <is>
          <t>avverkningsanmälan</t>
        </is>
      </c>
      <c r="C42" t="inlineStr">
        <is>
          <t>Föryngringsavverkning</t>
        </is>
      </c>
      <c r="D42" s="1" t="n">
        <v>45084</v>
      </c>
      <c r="E42" s="1" t="n">
        <v>46300</v>
      </c>
      <c r="F42" t="inlineStr">
        <is>
          <t>KALMAR LÄN</t>
        </is>
      </c>
      <c r="G42" t="inlineStr">
        <is>
          <t>MÖRBYLÅNGA</t>
        </is>
      </c>
      <c r="I42" t="n">
        <v>5.5</v>
      </c>
      <c r="J42" t="n">
        <v>0</v>
      </c>
      <c r="K42" t="n">
        <v>0</v>
      </c>
      <c r="L42" t="n">
        <v>1</v>
      </c>
      <c r="M42" t="n">
        <v>0</v>
      </c>
      <c r="N42" t="n">
        <v>0</v>
      </c>
      <c r="O42" t="n">
        <v>0</v>
      </c>
      <c r="P42" t="n">
        <v>0</v>
      </c>
      <c r="Q42" t="n">
        <v>1</v>
      </c>
      <c r="R42" t="n">
        <v>0</v>
      </c>
      <c r="S42" t="n">
        <v>1</v>
      </c>
      <c r="T42" t="n">
        <v>1</v>
      </c>
      <c r="U42" t="n">
        <v>1</v>
      </c>
      <c r="V42" s="2" t="inlineStr">
        <is>
          <t>Sårläka</t>
        </is>
      </c>
      <c r="W42">
        <f>HYPERLINK("https://klasma.github.io/Logging_0840/artfynd/A 24698-2023 artfynd.xlsx", "A 24698-2023")</f>
        <v/>
      </c>
      <c r="X42">
        <f>HYPERLINK("https://klasma.github.io/Logging_0840/kartor/A 24698-2023 karta.png", "A 24698-2023")</f>
        <v/>
      </c>
      <c r="Y42">
        <f>HYPERLINK("https://klasma.github.io/Logging_0840/kartor_geotiff/A 24698-2023 georefererad karta.tif", "A 24698-2023")</f>
        <v/>
      </c>
      <c r="AA42">
        <f>HYPERLINK("https://klasma.github.io/Logging_0840/klagomål/A 24698-2023 FSC-klagomål.docx", "A 24698-2023")</f>
        <v/>
      </c>
      <c r="AB42">
        <f>HYPERLINK("https://klasma.github.io/Logging_0840/klagomålsmail/A 24698-2023 FSC-klagomål mail.docx", "A 24698-2023")</f>
        <v/>
      </c>
      <c r="AC42">
        <f>HYPERLINK("https://klasma.github.io/Logging_0840/tillsyn/A 24698-2023 tillsynsbegäran.docx", "A 24698-2023")</f>
        <v/>
      </c>
      <c r="AD42">
        <f>HYPERLINK("https://klasma.github.io/Logging_0840/tillsynsmail/A 24698-2023 tillsynsbegäran mail.docx", "A 24698-2023")</f>
        <v/>
      </c>
    </row>
    <row r="43" ht="15" customHeight="1">
      <c r="A43" t="inlineStr">
        <is>
          <t>A 13040-2024</t>
        </is>
      </c>
      <c r="B43" t="inlineStr">
        <is>
          <t>avverkningsanmälan</t>
        </is>
      </c>
      <c r="C43" t="inlineStr">
        <is>
          <t>Avverkning för annat ändamål</t>
        </is>
      </c>
      <c r="D43" s="1" t="n">
        <v>45385</v>
      </c>
      <c r="E43" s="1" t="n">
        <v>46300</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46300</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30492-2026</t>
        </is>
      </c>
      <c r="B45" t="inlineStr">
        <is>
          <t>avverkningsanmälan</t>
        </is>
      </c>
      <c r="C45" t="inlineStr">
        <is>
          <t>Avverkning för annat ändamål</t>
        </is>
      </c>
      <c r="D45" s="1" t="n">
        <v>46210</v>
      </c>
      <c r="E45" s="1" t="n">
        <v>46300</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36928-2026</t>
        </is>
      </c>
      <c r="B46" t="inlineStr">
        <is>
          <t>avverkningsanmälan</t>
        </is>
      </c>
      <c r="C46" t="inlineStr">
        <is>
          <t>Föryngringsavverkning</t>
        </is>
      </c>
      <c r="D46" s="1" t="n">
        <v>46273</v>
      </c>
      <c r="E46" s="1" t="n">
        <v>46300</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26876-2022</t>
        </is>
      </c>
      <c r="B47" t="inlineStr">
        <is>
          <t>avverkningsanmälan</t>
        </is>
      </c>
      <c r="C47" t="inlineStr">
        <is>
          <t>Avverkning för annat ändamål</t>
        </is>
      </c>
      <c r="D47" s="1" t="n">
        <v>44740</v>
      </c>
      <c r="E47" s="1" t="n">
        <v>46300</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46300</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46300</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2026-10-05T01:57:37Z</dcterms:created>
  <dcterms:modified xmlns:dcterms="http://purl.org/dc/terms/" xmlns:xsi="http://www.w3.org/2001/XMLSchema-instance" xsi:type="dcterms:W3CDTF">2026-10-05T01:57:37Z</dcterms:modified>
</cp:coreProperties>
</file>