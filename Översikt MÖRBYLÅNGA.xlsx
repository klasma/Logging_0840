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45910</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45910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45910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45910</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45910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45910</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45910</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45910</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45910</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45910</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45910</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39320-2024</t>
        </is>
      </c>
      <c r="B15" s="1" t="n">
        <v>45551</v>
      </c>
      <c r="C15" s="1" t="n">
        <v>45910</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45910</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45910</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45910</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45910</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45910</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62231-2023</t>
        </is>
      </c>
      <c r="B21" s="1" t="n">
        <v>45267</v>
      </c>
      <c r="C21" s="1" t="n">
        <v>45910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45910</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45910</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54192-2021</t>
        </is>
      </c>
      <c r="B24" s="1" t="n">
        <v>44470</v>
      </c>
      <c r="C24" s="1" t="n">
        <v>45910</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45910</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24698-2023</t>
        </is>
      </c>
      <c r="B26" s="1" t="n">
        <v>45084</v>
      </c>
      <c r="C26" s="1" t="n">
        <v>45910</v>
      </c>
      <c r="D26" t="inlineStr">
        <is>
          <t>KALMAR LÄN</t>
        </is>
      </c>
      <c r="E26" t="inlineStr">
        <is>
          <t>MÖRBYLÅNGA</t>
        </is>
      </c>
      <c r="G26" t="n">
        <v>5.5</v>
      </c>
      <c r="H26" t="n">
        <v>0</v>
      </c>
      <c r="I26" t="n">
        <v>1</v>
      </c>
      <c r="J26" t="n">
        <v>0</v>
      </c>
      <c r="K26" t="n">
        <v>0</v>
      </c>
      <c r="L26" t="n">
        <v>0</v>
      </c>
      <c r="M26" t="n">
        <v>0</v>
      </c>
      <c r="N26" t="n">
        <v>0</v>
      </c>
      <c r="O26" t="n">
        <v>0</v>
      </c>
      <c r="P26" t="n">
        <v>0</v>
      </c>
      <c r="Q26" t="n">
        <v>1</v>
      </c>
      <c r="R26" s="2" t="inlineStr">
        <is>
          <t>Sårläka</t>
        </is>
      </c>
      <c r="S26">
        <f>HYPERLINK("https://klasma.github.io/Logging_0840/artfynd/A 24698-2023 artfynd.xlsx", "A 24698-2023")</f>
        <v/>
      </c>
      <c r="T26">
        <f>HYPERLINK("https://klasma.github.io/Logging_0840/kartor/A 24698-2023 karta.png", "A 24698-2023")</f>
        <v/>
      </c>
      <c r="V26">
        <f>HYPERLINK("https://klasma.github.io/Logging_0840/klagomål/A 24698-2023 FSC-klagomål.docx", "A 24698-2023")</f>
        <v/>
      </c>
      <c r="W26">
        <f>HYPERLINK("https://klasma.github.io/Logging_0840/klagomålsmail/A 24698-2023 FSC-klagomål mail.docx", "A 24698-2023")</f>
        <v/>
      </c>
      <c r="X26">
        <f>HYPERLINK("https://klasma.github.io/Logging_0840/tillsyn/A 24698-2023 tillsynsbegäran.docx", "A 24698-2023")</f>
        <v/>
      </c>
      <c r="Y26">
        <f>HYPERLINK("https://klasma.github.io/Logging_0840/tillsynsmail/A 24698-2023 tillsynsbegäran mail.docx", "A 24698-2023")</f>
        <v/>
      </c>
    </row>
    <row r="27" ht="15" customHeight="1">
      <c r="A27" t="inlineStr">
        <is>
          <t>A 19459-2023</t>
        </is>
      </c>
      <c r="B27" s="1" t="n">
        <v>45049</v>
      </c>
      <c r="C27" s="1" t="n">
        <v>45910</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26876-2022</t>
        </is>
      </c>
      <c r="B28" s="1" t="n">
        <v>44740</v>
      </c>
      <c r="C28" s="1" t="n">
        <v>45910</v>
      </c>
      <c r="D28" t="inlineStr">
        <is>
          <t>KALMAR LÄN</t>
        </is>
      </c>
      <c r="E28" t="inlineStr">
        <is>
          <t>MÖRBYLÅNGA</t>
        </is>
      </c>
      <c r="G28" t="n">
        <v>0.7</v>
      </c>
      <c r="H28" t="n">
        <v>0</v>
      </c>
      <c r="I28" t="n">
        <v>0</v>
      </c>
      <c r="J28" t="n">
        <v>0</v>
      </c>
      <c r="K28" t="n">
        <v>0</v>
      </c>
      <c r="L28" t="n">
        <v>0</v>
      </c>
      <c r="M28" t="n">
        <v>0</v>
      </c>
      <c r="N28" t="n">
        <v>0</v>
      </c>
      <c r="O28" t="n">
        <v>0</v>
      </c>
      <c r="P28" t="n">
        <v>0</v>
      </c>
      <c r="Q28" t="n">
        <v>0</v>
      </c>
      <c r="R28" s="2" t="inlineStr"/>
    </row>
    <row r="29" ht="15" customHeight="1">
      <c r="A29" t="inlineStr">
        <is>
          <t>A 13384-2023</t>
        </is>
      </c>
      <c r="B29" s="1" t="n">
        <v>45005</v>
      </c>
      <c r="C29" s="1" t="n">
        <v>45910</v>
      </c>
      <c r="D29" t="inlineStr">
        <is>
          <t>KALMAR LÄN</t>
        </is>
      </c>
      <c r="E29" t="inlineStr">
        <is>
          <t>MÖRBYLÅNGA</t>
        </is>
      </c>
      <c r="G29" t="n">
        <v>0.9</v>
      </c>
      <c r="H29" t="n">
        <v>0</v>
      </c>
      <c r="I29" t="n">
        <v>0</v>
      </c>
      <c r="J29" t="n">
        <v>0</v>
      </c>
      <c r="K29" t="n">
        <v>0</v>
      </c>
      <c r="L29" t="n">
        <v>0</v>
      </c>
      <c r="M29" t="n">
        <v>0</v>
      </c>
      <c r="N29" t="n">
        <v>0</v>
      </c>
      <c r="O29" t="n">
        <v>0</v>
      </c>
      <c r="P29" t="n">
        <v>0</v>
      </c>
      <c r="Q29" t="n">
        <v>0</v>
      </c>
      <c r="R29" s="2" t="inlineStr"/>
    </row>
    <row r="30" ht="15" customHeight="1">
      <c r="A30" t="inlineStr">
        <is>
          <t>A 61865-2020</t>
        </is>
      </c>
      <c r="B30" s="1" t="n">
        <v>44155</v>
      </c>
      <c r="C30" s="1" t="n">
        <v>45910</v>
      </c>
      <c r="D30" t="inlineStr">
        <is>
          <t>KALMAR LÄN</t>
        </is>
      </c>
      <c r="E30" t="inlineStr">
        <is>
          <t>MÖRBYLÅNGA</t>
        </is>
      </c>
      <c r="G30" t="n">
        <v>5</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45910</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45910</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c r="A33" t="inlineStr">
        <is>
          <t>A 13040-2024</t>
        </is>
      </c>
      <c r="B33" s="1" t="n">
        <v>45385</v>
      </c>
      <c r="C33" s="1" t="n">
        <v>45910</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2025-09-10T18:17:25Z</dcterms:created>
  <dcterms:modified xmlns:dcterms="http://purl.org/dc/terms/" xmlns:xsi="http://www.w3.org/2001/XMLSchema-instance" xsi:type="dcterms:W3CDTF">2025-09-10T18:17:25Z</dcterms:modified>
</cp:coreProperties>
</file>