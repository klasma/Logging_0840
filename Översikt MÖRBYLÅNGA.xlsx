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46241</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46241</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46241</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46241</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46241</v>
      </c>
      <c r="F6" t="inlineStr">
        <is>
          <t>KALMAR LÄN</t>
        </is>
      </c>
      <c r="G6" t="inlineStr">
        <is>
          <t>MÖRBYLÅNGA</t>
        </is>
      </c>
      <c r="I6" t="n">
        <v>7.3</v>
      </c>
      <c r="J6" t="n">
        <v>10</v>
      </c>
      <c r="K6" t="n">
        <v>7</v>
      </c>
      <c r="L6" t="n">
        <v>18</v>
      </c>
      <c r="M6" t="n">
        <v>3</v>
      </c>
      <c r="N6" t="n">
        <v>2</v>
      </c>
      <c r="O6" t="n">
        <v>1</v>
      </c>
      <c r="P6" t="n">
        <v>0</v>
      </c>
      <c r="Q6" t="n">
        <v>24</v>
      </c>
      <c r="R6" t="n">
        <v>6</v>
      </c>
      <c r="S6" t="n">
        <v>36</v>
      </c>
      <c r="T6" t="n">
        <v>185</v>
      </c>
      <c r="U6" t="n">
        <v>145</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46241</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46241</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46241</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46241</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46241</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46241</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46241</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46241</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46241</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46241</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60875-2025</t>
        </is>
      </c>
      <c r="B17" t="inlineStr">
        <is>
          <t>avverkningsanmälan</t>
        </is>
      </c>
      <c r="C17" t="inlineStr">
        <is>
          <t>Föryngringsavverkning</t>
        </is>
      </c>
      <c r="D17" s="1" t="n">
        <v>45999</v>
      </c>
      <c r="E17" s="1" t="n">
        <v>46241</v>
      </c>
      <c r="F17" t="inlineStr">
        <is>
          <t>KALMAR LÄN</t>
        </is>
      </c>
      <c r="G17" t="inlineStr">
        <is>
          <t>MÖRBYLÅNGA</t>
        </is>
      </c>
      <c r="I17" t="n">
        <v>2.1</v>
      </c>
      <c r="J17" t="n">
        <v>8</v>
      </c>
      <c r="K17" t="n">
        <v>1</v>
      </c>
      <c r="L17" t="n">
        <v>5</v>
      </c>
      <c r="M17" t="n">
        <v>0</v>
      </c>
      <c r="N17" t="n">
        <v>1</v>
      </c>
      <c r="O17" t="n">
        <v>1</v>
      </c>
      <c r="P17" t="n">
        <v>0</v>
      </c>
      <c r="Q17" t="n">
        <v>7</v>
      </c>
      <c r="R17" t="n">
        <v>2</v>
      </c>
      <c r="S17" t="n">
        <v>11</v>
      </c>
      <c r="T17" t="n">
        <v>12</v>
      </c>
      <c r="U17" t="n">
        <v>3</v>
      </c>
      <c r="V17" s="2" t="inlineStr">
        <is>
          <t>Järnek
Mosippa
Grönsångare
Gulsparv
Göktyta
Mindre hackspett
Svinrot
Murgröna
Spillkråka
Kråka
Skogsduva</t>
        </is>
      </c>
      <c r="W17">
        <f>HYPERLINK("https://klasma.github.io/Logging_0840/artfynd/A 60875-2025 artfynd.xlsx", "A 60875-2025")</f>
        <v/>
      </c>
      <c r="X17">
        <f>HYPERLINK("https://klasma.github.io/Logging_0840/kartor/A 60875-2025 karta.png", "A 60875-2025")</f>
        <v/>
      </c>
      <c r="Y17">
        <f>HYPERLINK("https://klasma.github.io/Logging_0840/kartor_geotiff/A 60875-2025 georefererad karta.tif", "A 60875-2025")</f>
        <v/>
      </c>
      <c r="AA17">
        <f>HYPERLINK("https://klasma.github.io/Logging_0840/klagomål/A 60875-2025 FSC-klagomål.docx", "A 60875-2025")</f>
        <v/>
      </c>
      <c r="AB17">
        <f>HYPERLINK("https://klasma.github.io/Logging_0840/klagomålsmail/A 60875-2025 FSC-klagomål mail.docx", "A 60875-2025")</f>
        <v/>
      </c>
      <c r="AC17">
        <f>HYPERLINK("https://klasma.github.io/Logging_0840/tillsyn/A 60875-2025 tillsynsbegäran.docx", "A 60875-2025")</f>
        <v/>
      </c>
      <c r="AD17">
        <f>HYPERLINK("https://klasma.github.io/Logging_0840/tillsynsmail/A 60875-2025 tillsynsbegäran mail.docx", "A 60875-2025")</f>
        <v/>
      </c>
      <c r="AE17">
        <f>HYPERLINK("https://klasma.github.io/Logging_0840/fåglar/A 60875-2025 prioriterade fågelarter.docx", "A 60875-2025")</f>
        <v/>
      </c>
    </row>
    <row r="18" ht="15" customHeight="1">
      <c r="A18" t="inlineStr">
        <is>
          <t>A 24778-2022</t>
        </is>
      </c>
      <c r="B18" t="inlineStr">
        <is>
          <t>avverkningsanmälan</t>
        </is>
      </c>
      <c r="C18" t="inlineStr">
        <is>
          <t>Föryngringsavverkning</t>
        </is>
      </c>
      <c r="D18" s="1" t="n">
        <v>44728</v>
      </c>
      <c r="E18" s="1" t="n">
        <v>46241</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46241</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46241</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46241</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46241</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46241</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46241</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46241</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46241</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46241</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46241</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46241</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46241</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46241</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46241</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46241</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46241</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46241</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46241</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46241</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72167-2021</t>
        </is>
      </c>
      <c r="B38" t="inlineStr">
        <is>
          <t>avverkningsanmälan</t>
        </is>
      </c>
      <c r="C38" t="inlineStr">
        <is>
          <t>Föryngringsavverkning</t>
        </is>
      </c>
      <c r="D38" s="1" t="n">
        <v>44544</v>
      </c>
      <c r="E38" s="1" t="n">
        <v>46241</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46241</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A 29360-2026</t>
        </is>
      </c>
      <c r="B40" t="inlineStr">
        <is>
          <t>avverkningsanmälan</t>
        </is>
      </c>
      <c r="C40" t="inlineStr">
        <is>
          <t>Avverkning för annat ändamål</t>
        </is>
      </c>
      <c r="D40" s="1" t="n">
        <v>46203</v>
      </c>
      <c r="E40" s="1" t="n">
        <v>46241</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t="n">
        <v>0</v>
      </c>
      <c r="V40" s="2" t="inlineStr">
        <is>
          <t>Mindre blåvinge
Silversmygare</t>
        </is>
      </c>
      <c r="W40">
        <f>HYPERLINK("https://klasma.github.io/Logging_0840/artfynd/A 29360-2026 artfynd.xlsx", "A 29360-2026")</f>
        <v/>
      </c>
      <c r="X40">
        <f>HYPERLINK("https://klasma.github.io/Logging_0840/kartor/A 29360-2026 karta.png", "A 29360-2026")</f>
        <v/>
      </c>
      <c r="Y40">
        <f>HYPERLINK("https://klasma.github.io/Logging_0840/kartor_geotiff/A 29360-2026 georefererad karta.tif", "A 29360-2026")</f>
        <v/>
      </c>
      <c r="AA40">
        <f>HYPERLINK("https://klasma.github.io/Logging_0840/klagomål/A 29360-2026 FSC-klagomål.docx", "A 29360-2026")</f>
        <v/>
      </c>
      <c r="AB40">
        <f>HYPERLINK("https://klasma.github.io/Logging_0840/klagomålsmail/A 29360-2026 FSC-klagomål mail.docx", "A 29360-2026")</f>
        <v/>
      </c>
      <c r="AC40">
        <f>HYPERLINK("https://klasma.github.io/Logging_0840/tillsyn/A 29360-2026 tillsynsbegäran.docx", "A 29360-2026")</f>
        <v/>
      </c>
      <c r="AD40">
        <f>HYPERLINK("https://klasma.github.io/Logging_0840/tillsynsmail/A 29360-2026 tillsynsbegäran mail.docx", "A 29360-2026")</f>
        <v/>
      </c>
    </row>
    <row r="41" ht="15" customHeight="1">
      <c r="A41" t="inlineStr">
        <is>
          <t>A 13040-2024</t>
        </is>
      </c>
      <c r="B41" t="inlineStr">
        <is>
          <t>avverkningsanmälan</t>
        </is>
      </c>
      <c r="C41" t="inlineStr">
        <is>
          <t>Avverkning för annat ändamål</t>
        </is>
      </c>
      <c r="D41" s="1" t="n">
        <v>45385</v>
      </c>
      <c r="E41" s="1" t="n">
        <v>46241</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46241</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HYPERLINK("https://klasma.github.io/Logging_0840/artfynd/A 13384-2023 artfynd.xlsx", "A 13384-2023")</f>
        <v/>
      </c>
      <c r="X42">
        <f>HYPERLINK("https://klasma.github.io/Logging_0840/kartor/A 13384-2023 karta.png", "A 13384-2023")</f>
        <v/>
      </c>
      <c r="Y42">
        <f>HYPERLINK("https://klasma.github.io/Logging_0840/kartor_geotiff/A 13384-2023 georefererad karta.tif", "A 13384-2023")</f>
        <v/>
      </c>
      <c r="AA42">
        <f>HYPERLINK("https://klasma.github.io/Logging_0840/klagomål/A 13384-2023 FSC-klagomål.docx", "A 13384-2023")</f>
        <v/>
      </c>
      <c r="AB42">
        <f>HYPERLINK("https://klasma.github.io/Logging_0840/klagomålsmail/A 13384-2023 FSC-klagomål mail.docx", "A 13384-2023")</f>
        <v/>
      </c>
      <c r="AC42">
        <f>HYPERLINK("https://klasma.github.io/Logging_0840/tillsyn/A 13384-2023 tillsynsbegäran.docx", "A 13384-2023")</f>
        <v/>
      </c>
      <c r="AD42">
        <f>HYPERLINK("https://klasma.github.io/Logging_0840/tillsynsmail/A 13384-2023 tillsynsbegäran mail.docx", "A 13384-2023")</f>
        <v/>
      </c>
    </row>
    <row r="43" ht="15" customHeight="1">
      <c r="A43" t="inlineStr">
        <is>
          <t>A 62183-2025</t>
        </is>
      </c>
      <c r="B43" t="inlineStr">
        <is>
          <t>avverkningsanmälan</t>
        </is>
      </c>
      <c r="C43" t="inlineStr">
        <is>
          <t>Föryngringsavverkning</t>
        </is>
      </c>
      <c r="D43" s="1" t="n">
        <v>46006</v>
      </c>
      <c r="E43" s="1" t="n">
        <v>46241</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t="n">
        <v>0</v>
      </c>
      <c r="V43" s="2" t="inlineStr">
        <is>
          <t>Kösa</t>
        </is>
      </c>
      <c r="W43">
        <f>HYPERLINK("https://klasma.github.io/Logging_0840/artfynd/A 62183-2025 artfynd.xlsx", "A 62183-2025")</f>
        <v/>
      </c>
      <c r="X43">
        <f>HYPERLINK("https://klasma.github.io/Logging_0840/kartor/A 62183-2025 karta.png", "A 62183-2025")</f>
        <v/>
      </c>
      <c r="Y43">
        <f>HYPERLINK("https://klasma.github.io/Logging_0840/kartor_geotiff/A 62183-2025 georefererad karta.tif", "A 62183-2025")</f>
        <v/>
      </c>
      <c r="AA43">
        <f>HYPERLINK("https://klasma.github.io/Logging_0840/klagomål/A 62183-2025 FSC-klagomål.docx", "A 62183-2025")</f>
        <v/>
      </c>
      <c r="AB43">
        <f>HYPERLINK("https://klasma.github.io/Logging_0840/klagomålsmail/A 62183-2025 FSC-klagomål mail.docx", "A 62183-2025")</f>
        <v/>
      </c>
      <c r="AC43">
        <f>HYPERLINK("https://klasma.github.io/Logging_0840/tillsyn/A 62183-2025 tillsynsbegäran.docx", "A 62183-2025")</f>
        <v/>
      </c>
      <c r="AD43">
        <f>HYPERLINK("https://klasma.github.io/Logging_0840/tillsynsmail/A 62183-2025 tillsynsbegäran mail.docx", "A 62183-2025")</f>
        <v/>
      </c>
    </row>
    <row r="44" ht="15" customHeight="1">
      <c r="A44" t="inlineStr">
        <is>
          <t>A 30492-2026</t>
        </is>
      </c>
      <c r="B44" t="inlineStr">
        <is>
          <t>avverkningsanmälan</t>
        </is>
      </c>
      <c r="C44" t="inlineStr">
        <is>
          <t>Avverkning för annat ändamål</t>
        </is>
      </c>
      <c r="D44" s="1" t="n">
        <v>46210</v>
      </c>
      <c r="E44" s="1" t="n">
        <v>46241</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24698-2023</t>
        </is>
      </c>
      <c r="B45" t="inlineStr">
        <is>
          <t>avverkningsanmälan</t>
        </is>
      </c>
      <c r="C45" t="inlineStr">
        <is>
          <t>Föryngringsavverkning</t>
        </is>
      </c>
      <c r="D45" s="1" t="n">
        <v>45084</v>
      </c>
      <c r="E45" s="1" t="n">
        <v>46241</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26876-2022</t>
        </is>
      </c>
      <c r="B46" t="inlineStr">
        <is>
          <t>avverkningsanmälan</t>
        </is>
      </c>
      <c r="C46" t="inlineStr">
        <is>
          <t>Avverkning för annat ändamål</t>
        </is>
      </c>
      <c r="D46" s="1" t="n">
        <v>44740</v>
      </c>
      <c r="E46" s="1" t="n">
        <v>46241</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46241</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46241</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2026-08-07T01:57:54Z</dcterms:created>
  <dcterms:modified xmlns:dcterms="http://purl.org/dc/terms/" xmlns:xsi="http://www.w3.org/2001/XMLSchema-instance" xsi:type="dcterms:W3CDTF">2026-08-07T01:57:54Z</dcterms:modified>
</cp:coreProperties>
</file>