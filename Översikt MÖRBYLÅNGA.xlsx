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46306</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46306</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46306</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46306</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46306</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46306</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46306</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46306</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46306</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46306</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46306</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46306</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46306</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46306</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46306</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46306</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46306</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15600-2025</t>
        </is>
      </c>
      <c r="B19" t="inlineStr">
        <is>
          <t>avverkningsanmälan</t>
        </is>
      </c>
      <c r="C19" t="inlineStr">
        <is>
          <t>Avverkning för annat ändamål</t>
        </is>
      </c>
      <c r="D19" s="1" t="n">
        <v>45747</v>
      </c>
      <c r="E19" s="1" t="n">
        <v>46306</v>
      </c>
      <c r="F19" t="inlineStr">
        <is>
          <t>KALMAR LÄN</t>
        </is>
      </c>
      <c r="G19" t="inlineStr">
        <is>
          <t>MÖRBYLÅNGA</t>
        </is>
      </c>
      <c r="I19" t="n">
        <v>1.1</v>
      </c>
      <c r="J19" t="n">
        <v>3</v>
      </c>
      <c r="K19" t="n">
        <v>4</v>
      </c>
      <c r="L19" t="n">
        <v>0</v>
      </c>
      <c r="M19" t="n">
        <v>0</v>
      </c>
      <c r="N19" t="n">
        <v>1</v>
      </c>
      <c r="O19" t="n">
        <v>0</v>
      </c>
      <c r="P19" t="n">
        <v>0</v>
      </c>
      <c r="Q19" t="n">
        <v>1</v>
      </c>
      <c r="R19" t="n">
        <v>1</v>
      </c>
      <c r="S19" t="n">
        <v>10</v>
      </c>
      <c r="T19" t="n">
        <v>20</v>
      </c>
      <c r="U19" t="n">
        <v>18</v>
      </c>
      <c r="V19" s="2" t="inlineStr">
        <is>
          <t>Ask
Kragjordstjärna
Murgröna
Scharlakansvårskål agg.
Tibast
Blåsippa
Skärmstarr
Spillkråka
Storrams
Röd glada</t>
        </is>
      </c>
      <c r="W19">
        <f>HYPERLINK("https://klasma.github.io/Logging_0840/artfynd/A 15600-2025 artfynd.xlsx", "A 15600-2025")</f>
        <v/>
      </c>
      <c r="X19">
        <f>HYPERLINK("https://klasma.github.io/Logging_0840/kartor/A 15600-2025 karta.png", "A 15600-2025")</f>
        <v/>
      </c>
      <c r="Y19">
        <f>HYPERLINK("https://klasma.github.io/Logging_0840/kartor_geotiff/A 15600-2025 georefererad karta.tif", "A 15600-2025")</f>
        <v/>
      </c>
      <c r="AA19">
        <f>HYPERLINK("https://klasma.github.io/Logging_0840/klagomål/A 15600-2025 FSC-klagomål.docx", "A 15600-2025")</f>
        <v/>
      </c>
      <c r="AB19">
        <f>HYPERLINK("https://klasma.github.io/Logging_0840/klagomålsmail/A 15600-2025 FSC-klagomål mail.docx", "A 15600-2025")</f>
        <v/>
      </c>
      <c r="AC19">
        <f>HYPERLINK("https://klasma.github.io/Logging_0840/tillsyn/A 15600-2025 tillsynsbegäran.docx", "A 15600-2025")</f>
        <v/>
      </c>
      <c r="AD19">
        <f>HYPERLINK("https://klasma.github.io/Logging_0840/tillsynsmail/A 15600-2025 tillsynsbegäran mail.docx", "A 15600-2025")</f>
        <v/>
      </c>
      <c r="AE19">
        <f>HYPERLINK("https://klasma.github.io/Logging_0840/fåglar/A 15600-2025 prioriterade fågelarter.docx", "A 15600-2025")</f>
        <v/>
      </c>
    </row>
    <row r="20" ht="15" customHeight="1">
      <c r="A20" t="inlineStr">
        <is>
          <t>A 39320-2024</t>
        </is>
      </c>
      <c r="B20" t="inlineStr">
        <is>
          <t>avverkningsanmälan</t>
        </is>
      </c>
      <c r="C20" t="inlineStr">
        <is>
          <t>Avverkning för annat ändamål</t>
        </is>
      </c>
      <c r="D20" s="1" t="n">
        <v>45551</v>
      </c>
      <c r="E20" s="1" t="n">
        <v>46306</v>
      </c>
      <c r="F20" t="inlineStr">
        <is>
          <t>KALMAR LÄN</t>
        </is>
      </c>
      <c r="G20" t="inlineStr">
        <is>
          <t>MÖRBYLÅNGA</t>
        </is>
      </c>
      <c r="I20" t="n">
        <v>3.3</v>
      </c>
      <c r="J20" t="n">
        <v>1</v>
      </c>
      <c r="K20" t="n">
        <v>2</v>
      </c>
      <c r="L20" t="n">
        <v>4</v>
      </c>
      <c r="M20" t="n">
        <v>1</v>
      </c>
      <c r="N20" t="n">
        <v>1</v>
      </c>
      <c r="O20" t="n">
        <v>1</v>
      </c>
      <c r="P20" t="n">
        <v>0</v>
      </c>
      <c r="Q20" t="n">
        <v>7</v>
      </c>
      <c r="R20" t="n">
        <v>3</v>
      </c>
      <c r="S20" t="n">
        <v>10</v>
      </c>
      <c r="T20" t="n">
        <v>11</v>
      </c>
      <c r="U20" t="n">
        <v>10</v>
      </c>
      <c r="V20" s="2" t="inlineStr">
        <is>
          <t>Vresalm
Lundalm
Toppjungfrulin
Gulprickig vaxskivling
Korskovall
Sårläka
Vårärt
Strävlosta
Underviol
Skogsduva</t>
        </is>
      </c>
      <c r="W20">
        <f>HYPERLINK("https://klasma.github.io/Logging_0840/artfynd/A 39320-2024 artfynd.xlsx", "A 39320-2024")</f>
        <v/>
      </c>
      <c r="X20">
        <f>HYPERLINK("https://klasma.github.io/Logging_0840/kartor/A 39320-2024 karta.png", "A 39320-2024")</f>
        <v/>
      </c>
      <c r="Y20">
        <f>HYPERLINK("https://klasma.github.io/Logging_0840/kartor_geotiff/A 39320-2024 georefererad karta.tif", "A 39320-2024")</f>
        <v/>
      </c>
      <c r="AA20">
        <f>HYPERLINK("https://klasma.github.io/Logging_0840/klagomål/A 39320-2024 FSC-klagomål.docx", "A 39320-2024")</f>
        <v/>
      </c>
      <c r="AB20">
        <f>HYPERLINK("https://klasma.github.io/Logging_0840/klagomålsmail/A 39320-2024 FSC-klagomål mail.docx", "A 39320-2024")</f>
        <v/>
      </c>
      <c r="AC20">
        <f>HYPERLINK("https://klasma.github.io/Logging_0840/tillsyn/A 39320-2024 tillsynsbegäran.docx", "A 39320-2024")</f>
        <v/>
      </c>
      <c r="AD20">
        <f>HYPERLINK("https://klasma.github.io/Logging_0840/tillsynsmail/A 39320-2024 tillsynsbegäran mail.docx", "A 39320-2024")</f>
        <v/>
      </c>
    </row>
    <row r="21" ht="15" customHeight="1">
      <c r="A21" t="inlineStr">
        <is>
          <t>S 1122-2022</t>
        </is>
      </c>
      <c r="B21" t="inlineStr">
        <is>
          <t>samrådsanmälan</t>
        </is>
      </c>
      <c r="C21" t="inlineStr">
        <is>
          <t>Annan skogsbruksåtgärd</t>
        </is>
      </c>
      <c r="D21" s="1" t="n">
        <v>44616</v>
      </c>
      <c r="E21" s="1" t="n">
        <v>46306</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46306</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46306</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46306</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46306</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46306</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43714-2025</t>
        </is>
      </c>
      <c r="B27" t="inlineStr">
        <is>
          <t>avverkningsanmälan</t>
        </is>
      </c>
      <c r="C27" t="inlineStr">
        <is>
          <t>Föryngringsavverkning</t>
        </is>
      </c>
      <c r="D27" s="1" t="n">
        <v>45912</v>
      </c>
      <c r="E27" s="1" t="n">
        <v>46306</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A 43704-2025</t>
        </is>
      </c>
      <c r="B28" t="inlineStr">
        <is>
          <t>avverkningsanmälan</t>
        </is>
      </c>
      <c r="C28" t="inlineStr">
        <is>
          <t>Föryngringsavverkning</t>
        </is>
      </c>
      <c r="D28" s="1" t="n">
        <v>45912</v>
      </c>
      <c r="E28" s="1" t="n">
        <v>46306</v>
      </c>
      <c r="F28" t="inlineStr">
        <is>
          <t>KALMAR LÄN</t>
        </is>
      </c>
      <c r="G28" t="inlineStr">
        <is>
          <t>MÖRBYLÅNGA</t>
        </is>
      </c>
      <c r="I28" t="n">
        <v>2.7</v>
      </c>
      <c r="J28" t="n">
        <v>5</v>
      </c>
      <c r="K28" t="n">
        <v>1</v>
      </c>
      <c r="L28" t="n">
        <v>0</v>
      </c>
      <c r="M28" t="n">
        <v>0</v>
      </c>
      <c r="N28" t="n">
        <v>0</v>
      </c>
      <c r="O28" t="n">
        <v>0</v>
      </c>
      <c r="P28" t="n">
        <v>0</v>
      </c>
      <c r="Q28" t="n">
        <v>0</v>
      </c>
      <c r="R28" t="n">
        <v>0</v>
      </c>
      <c r="S28" t="n">
        <v>6</v>
      </c>
      <c r="T28" t="n">
        <v>6</v>
      </c>
      <c r="U28" t="n">
        <v>1</v>
      </c>
      <c r="V28" s="2" t="inlineStr">
        <is>
          <t>Blomkålssvamp
Långbensgroda
Större vattensalamander
Åkergroda
Mindre vattensalamander
Vanlig padda</t>
        </is>
      </c>
      <c r="W28">
        <f>HYPERLINK("https://klasma.github.io/Logging_0840/artfynd/A 43704-2025 artfynd.xlsx", "A 43704-2025")</f>
        <v/>
      </c>
      <c r="X28">
        <f>HYPERLINK("https://klasma.github.io/Logging_0840/kartor/A 43704-2025 karta.png", "A 43704-2025")</f>
        <v/>
      </c>
      <c r="Y28">
        <f>HYPERLINK("https://klasma.github.io/Logging_0840/kartor_geotiff/A 43704-2025 georefererad karta.tif", "A 43704-2025")</f>
        <v/>
      </c>
      <c r="AA28">
        <f>HYPERLINK("https://klasma.github.io/Logging_0840/klagomål/A 43704-2025 FSC-klagomål.docx", "A 43704-2025")</f>
        <v/>
      </c>
      <c r="AB28">
        <f>HYPERLINK("https://klasma.github.io/Logging_0840/klagomålsmail/A 43704-2025 FSC-klagomål mail.docx", "A 43704-2025")</f>
        <v/>
      </c>
      <c r="AC28">
        <f>HYPERLINK("https://klasma.github.io/Logging_0840/tillsyn/A 43704-2025 tillsynsbegäran.docx", "A 43704-2025")</f>
        <v/>
      </c>
      <c r="AD28">
        <f>HYPERLINK("https://klasma.github.io/Logging_0840/tillsynsmail/A 43704-2025 tillsynsbegäran mail.docx", "A 43704-2025")</f>
        <v/>
      </c>
    </row>
    <row r="29" ht="15" customHeight="1">
      <c r="A29" t="inlineStr">
        <is>
          <t>S 1814-2026</t>
        </is>
      </c>
      <c r="B29" t="inlineStr">
        <is>
          <t>samrådsanmälan</t>
        </is>
      </c>
      <c r="C29" t="inlineStr">
        <is>
          <t>Annan skogsbruksåtgärd</t>
        </is>
      </c>
      <c r="D29" s="1" t="n">
        <v>46190</v>
      </c>
      <c r="E29" s="1" t="n">
        <v>46306</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46306</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46306</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46306</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46306</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26440-2026</t>
        </is>
      </c>
      <c r="B34" t="inlineStr">
        <is>
          <t>avverkningsanmälan</t>
        </is>
      </c>
      <c r="C34" t="inlineStr">
        <is>
          <t>Avverkning för annat ändamål</t>
        </is>
      </c>
      <c r="D34" s="1" t="n">
        <v>46183</v>
      </c>
      <c r="E34" s="1" t="n">
        <v>46306</v>
      </c>
      <c r="F34" t="inlineStr">
        <is>
          <t>KALMAR LÄN</t>
        </is>
      </c>
      <c r="G34" t="inlineStr">
        <is>
          <t>MÖRBYLÅNGA</t>
        </is>
      </c>
      <c r="I34" t="n">
        <v>1.1</v>
      </c>
      <c r="J34" t="n">
        <v>1</v>
      </c>
      <c r="K34" t="n">
        <v>3</v>
      </c>
      <c r="L34" t="n">
        <v>1</v>
      </c>
      <c r="M34" t="n">
        <v>0</v>
      </c>
      <c r="N34" t="n">
        <v>0</v>
      </c>
      <c r="O34" t="n">
        <v>0</v>
      </c>
      <c r="P34" t="n">
        <v>0</v>
      </c>
      <c r="Q34" t="n">
        <v>1</v>
      </c>
      <c r="R34" t="n">
        <v>0</v>
      </c>
      <c r="S34" t="n">
        <v>4</v>
      </c>
      <c r="T34" t="n">
        <v>5</v>
      </c>
      <c r="U34" t="n">
        <v>0</v>
      </c>
      <c r="V34" s="2" t="inlineStr">
        <is>
          <t>Backstarr
Murgröna
Nästrot
Vätteros</t>
        </is>
      </c>
      <c r="W34">
        <f>HYPERLINK("https://klasma.github.io/Logging_0840/artfynd/A 26440-2026 artfynd.xlsx", "A 26440-2026")</f>
        <v/>
      </c>
      <c r="X34">
        <f>HYPERLINK("https://klasma.github.io/Logging_0840/kartor/A 26440-2026 karta.png", "A 26440-2026")</f>
        <v/>
      </c>
      <c r="Y34">
        <f>HYPERLINK("https://klasma.github.io/Logging_0840/kartor_geotiff/A 26440-2026 georefererad karta.tif", "A 26440-2026")</f>
        <v/>
      </c>
      <c r="AA34">
        <f>HYPERLINK("https://klasma.github.io/Logging_0840/klagomål/A 26440-2026 FSC-klagomål.docx", "A 26440-2026")</f>
        <v/>
      </c>
      <c r="AB34">
        <f>HYPERLINK("https://klasma.github.io/Logging_0840/klagomålsmail/A 26440-2026 FSC-klagomål mail.docx", "A 26440-2026")</f>
        <v/>
      </c>
      <c r="AC34">
        <f>HYPERLINK("https://klasma.github.io/Logging_0840/tillsyn/A 26440-2026 tillsynsbegäran.docx", "A 26440-2026")</f>
        <v/>
      </c>
      <c r="AD34">
        <f>HYPERLINK("https://klasma.github.io/Logging_0840/tillsynsmail/A 26440-2026 tillsynsbegäran mail.docx", "A 26440-2026")</f>
        <v/>
      </c>
    </row>
    <row r="35" ht="15" customHeight="1">
      <c r="A35" t="inlineStr">
        <is>
          <t>A 34431-2026</t>
        </is>
      </c>
      <c r="B35" t="inlineStr">
        <is>
          <t>avverkningsanmälan</t>
        </is>
      </c>
      <c r="C35" t="inlineStr">
        <is>
          <t>Avverkning för annat ändamål</t>
        </is>
      </c>
      <c r="D35" s="1" t="n">
        <v>46254</v>
      </c>
      <c r="E35" s="1" t="n">
        <v>46306</v>
      </c>
      <c r="F35" t="inlineStr">
        <is>
          <t>KALMAR LÄN</t>
        </is>
      </c>
      <c r="G35" t="inlineStr">
        <is>
          <t>MÖRBYLÅNGA</t>
        </is>
      </c>
      <c r="I35" t="n">
        <v>8.300000000000001</v>
      </c>
      <c r="J35" t="n">
        <v>2</v>
      </c>
      <c r="K35" t="n">
        <v>1</v>
      </c>
      <c r="L35" t="n">
        <v>3</v>
      </c>
      <c r="M35" t="n">
        <v>0</v>
      </c>
      <c r="N35" t="n">
        <v>0</v>
      </c>
      <c r="O35" t="n">
        <v>0</v>
      </c>
      <c r="P35" t="n">
        <v>0</v>
      </c>
      <c r="Q35" t="n">
        <v>3</v>
      </c>
      <c r="R35" t="n">
        <v>0</v>
      </c>
      <c r="S35" t="n">
        <v>4</v>
      </c>
      <c r="T35" t="n">
        <v>5</v>
      </c>
      <c r="U35" t="n">
        <v>1</v>
      </c>
      <c r="V35" s="2" t="inlineStr">
        <is>
          <t>Entita
Mindre hackspett
Sandtimotej
Murgröna</t>
        </is>
      </c>
      <c r="W35">
        <f>HYPERLINK("https://klasma.github.io/Logging_0840/artfynd/A 34431-2026 artfynd.xlsx", "A 34431-2026")</f>
        <v/>
      </c>
      <c r="X35">
        <f>HYPERLINK("https://klasma.github.io/Logging_0840/kartor/A 34431-2026 karta.png", "A 34431-2026")</f>
        <v/>
      </c>
      <c r="Y35">
        <f>HYPERLINK("https://klasma.github.io/Logging_0840/kartor_geotiff/A 34431-2026 georefererad karta.tif", "A 34431-2026")</f>
        <v/>
      </c>
      <c r="AA35">
        <f>HYPERLINK("https://klasma.github.io/Logging_0840/klagomål/A 34431-2026 FSC-klagomål.docx", "A 34431-2026")</f>
        <v/>
      </c>
      <c r="AB35">
        <f>HYPERLINK("https://klasma.github.io/Logging_0840/klagomålsmail/A 34431-2026 FSC-klagomål mail.docx", "A 34431-2026")</f>
        <v/>
      </c>
      <c r="AC35">
        <f>HYPERLINK("https://klasma.github.io/Logging_0840/tillsyn/A 34431-2026 tillsynsbegäran.docx", "A 34431-2026")</f>
        <v/>
      </c>
      <c r="AD35">
        <f>HYPERLINK("https://klasma.github.io/Logging_0840/tillsynsmail/A 34431-2026 tillsynsbegäran mail.docx", "A 34431-2026")</f>
        <v/>
      </c>
      <c r="AE35">
        <f>HYPERLINK("https://klasma.github.io/Logging_0840/fåglar/A 34431-2026 prioriterade fågelarter.docx", "A 34431-2026")</f>
        <v/>
      </c>
    </row>
    <row r="36" ht="15" customHeight="1">
      <c r="A36" t="inlineStr">
        <is>
          <t>A 43702-2025</t>
        </is>
      </c>
      <c r="B36" t="inlineStr">
        <is>
          <t>avverkningsanmälan</t>
        </is>
      </c>
      <c r="C36" t="inlineStr">
        <is>
          <t>Föryngringsavverkning</t>
        </is>
      </c>
      <c r="D36" s="1" t="n">
        <v>45912</v>
      </c>
      <c r="E36" s="1" t="n">
        <v>46306</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46306</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46306</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46306</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46306</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46306</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46306</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HYPERLINK("https://klasma.github.io/Logging_0840/artfynd/A 13384-2023 artfynd.xlsx", "A 13384-2023")</f>
        <v/>
      </c>
      <c r="X42">
        <f>HYPERLINK("https://klasma.github.io/Logging_0840/kartor/A 13384-2023 karta.png", "A 13384-2023")</f>
        <v/>
      </c>
      <c r="Y42">
        <f>HYPERLINK("https://klasma.github.io/Logging_0840/kartor_geotiff/A 13384-2023 georefererad karta.tif", "A 13384-2023")</f>
        <v/>
      </c>
      <c r="AA42">
        <f>HYPERLINK("https://klasma.github.io/Logging_0840/klagomål/A 13384-2023 FSC-klagomål.docx", "A 13384-2023")</f>
        <v/>
      </c>
      <c r="AB42">
        <f>HYPERLINK("https://klasma.github.io/Logging_0840/klagomålsmail/A 13384-2023 FSC-klagomål mail.docx", "A 13384-2023")</f>
        <v/>
      </c>
      <c r="AC42">
        <f>HYPERLINK("https://klasma.github.io/Logging_0840/tillsyn/A 13384-2023 tillsynsbegäran.docx", "A 13384-2023")</f>
        <v/>
      </c>
      <c r="AD42">
        <f>HYPERLINK("https://klasma.github.io/Logging_0840/tillsynsmail/A 13384-2023 tillsynsbegäran mail.docx", "A 13384-2023")</f>
        <v/>
      </c>
    </row>
    <row r="43" ht="15" customHeight="1">
      <c r="A43" t="inlineStr">
        <is>
          <t>A 24698-2023</t>
        </is>
      </c>
      <c r="B43" t="inlineStr">
        <is>
          <t>avverkningsanmälan</t>
        </is>
      </c>
      <c r="C43" t="inlineStr">
        <is>
          <t>Föryngringsavverkning</t>
        </is>
      </c>
      <c r="D43" s="1" t="n">
        <v>45084</v>
      </c>
      <c r="E43" s="1" t="n">
        <v>46306</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62183-2025</t>
        </is>
      </c>
      <c r="B44" t="inlineStr">
        <is>
          <t>avverkningsanmälan</t>
        </is>
      </c>
      <c r="C44" t="inlineStr">
        <is>
          <t>Föryngringsavverkning</t>
        </is>
      </c>
      <c r="D44" s="1" t="n">
        <v>46006</v>
      </c>
      <c r="E44" s="1" t="n">
        <v>46306</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30492-2026</t>
        </is>
      </c>
      <c r="B45" t="inlineStr">
        <is>
          <t>avverkningsanmälan</t>
        </is>
      </c>
      <c r="C45" t="inlineStr">
        <is>
          <t>Avverkning för annat ändamål</t>
        </is>
      </c>
      <c r="D45" s="1" t="n">
        <v>46210</v>
      </c>
      <c r="E45" s="1" t="n">
        <v>46306</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36928-2026</t>
        </is>
      </c>
      <c r="B46" t="inlineStr">
        <is>
          <t>avverkningsanmälan</t>
        </is>
      </c>
      <c r="C46" t="inlineStr">
        <is>
          <t>Föryngringsavverkning</t>
        </is>
      </c>
      <c r="D46" s="1" t="n">
        <v>46273</v>
      </c>
      <c r="E46" s="1" t="n">
        <v>46306</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46306</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46306</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46306</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2026-10-11T02:05:40Z</dcterms:created>
  <dcterms:modified xmlns:dcterms="http://purl.org/dc/terms/" xmlns:xsi="http://www.w3.org/2001/XMLSchema-instance" xsi:type="dcterms:W3CDTF">2026-10-11T02:05:41Z</dcterms:modified>
</cp:coreProperties>
</file>