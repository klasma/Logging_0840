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46225</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46225</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46225</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46225</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46225</v>
      </c>
      <c r="F6" t="inlineStr">
        <is>
          <t>KALMAR LÄN</t>
        </is>
      </c>
      <c r="G6" t="inlineStr">
        <is>
          <t>MÖRBYLÅNGA</t>
        </is>
      </c>
      <c r="I6" t="n">
        <v>7.3</v>
      </c>
      <c r="J6" t="n">
        <v>10</v>
      </c>
      <c r="K6" t="n">
        <v>7</v>
      </c>
      <c r="L6" t="n">
        <v>18</v>
      </c>
      <c r="M6" t="n">
        <v>3</v>
      </c>
      <c r="N6" t="n">
        <v>2</v>
      </c>
      <c r="O6" t="n">
        <v>1</v>
      </c>
      <c r="P6" t="n">
        <v>0</v>
      </c>
      <c r="Q6" t="n">
        <v>24</v>
      </c>
      <c r="R6" t="n">
        <v>6</v>
      </c>
      <c r="S6" t="n">
        <v>36</v>
      </c>
      <c r="T6" t="n">
        <v>184</v>
      </c>
      <c r="U6" t="n">
        <v>144</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46225</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46225</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46225</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46225</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46225</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46225</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46225</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46225</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38039-2022</t>
        </is>
      </c>
      <c r="B15" t="inlineStr">
        <is>
          <t>avverkningsanmälan</t>
        </is>
      </c>
      <c r="C15" t="inlineStr">
        <is>
          <t>Avverkning för annat ändamål</t>
        </is>
      </c>
      <c r="D15" s="1" t="n">
        <v>44811</v>
      </c>
      <c r="E15" s="1" t="n">
        <v>46225</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46225</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60875-2025</t>
        </is>
      </c>
      <c r="B17" t="inlineStr">
        <is>
          <t>avverkningsanmälan</t>
        </is>
      </c>
      <c r="C17" t="inlineStr">
        <is>
          <t>Föryngringsavverkning</t>
        </is>
      </c>
      <c r="D17" s="1" t="n">
        <v>45999</v>
      </c>
      <c r="E17" s="1" t="n">
        <v>46225</v>
      </c>
      <c r="F17" t="inlineStr">
        <is>
          <t>KALMAR LÄN</t>
        </is>
      </c>
      <c r="G17" t="inlineStr">
        <is>
          <t>MÖRBYLÅNGA</t>
        </is>
      </c>
      <c r="I17" t="n">
        <v>2.1</v>
      </c>
      <c r="J17" t="n">
        <v>8</v>
      </c>
      <c r="K17" t="n">
        <v>1</v>
      </c>
      <c r="L17" t="n">
        <v>5</v>
      </c>
      <c r="M17" t="n">
        <v>0</v>
      </c>
      <c r="N17" t="n">
        <v>1</v>
      </c>
      <c r="O17" t="n">
        <v>1</v>
      </c>
      <c r="P17" t="n">
        <v>0</v>
      </c>
      <c r="Q17" t="n">
        <v>7</v>
      </c>
      <c r="R17" t="n">
        <v>2</v>
      </c>
      <c r="S17" t="n">
        <v>11</v>
      </c>
      <c r="T17" t="n">
        <v>12</v>
      </c>
      <c r="U17" t="n">
        <v>3</v>
      </c>
      <c r="V17" s="2" t="inlineStr">
        <is>
          <t>Järnek
Mosippa
Grönsångare
Gulsparv
Göktyta
Mindre hackspett
Svinrot
Murgröna
Spillkråka
Kråka
Skogsduva</t>
        </is>
      </c>
      <c r="W17">
        <f>HYPERLINK("https://klasma.github.io/Logging_0840/artfynd/A 60875-2025 artfynd.xlsx", "A 60875-2025")</f>
        <v/>
      </c>
      <c r="X17">
        <f>HYPERLINK("https://klasma.github.io/Logging_0840/kartor/A 60875-2025 karta.png", "A 60875-2025")</f>
        <v/>
      </c>
      <c r="Y17">
        <f>HYPERLINK("https://klasma.github.io/Logging_0840/kartor_geotiff/A 60875-2025 georefererad karta.tif", "A 60875-2025")</f>
        <v/>
      </c>
      <c r="AA17">
        <f>HYPERLINK("https://klasma.github.io/Logging_0840/klagomål/A 60875-2025 FSC-klagomål.docx", "A 60875-2025")</f>
        <v/>
      </c>
      <c r="AB17">
        <f>HYPERLINK("https://klasma.github.io/Logging_0840/klagomålsmail/A 60875-2025 FSC-klagomål mail.docx", "A 60875-2025")</f>
        <v/>
      </c>
      <c r="AC17">
        <f>HYPERLINK("https://klasma.github.io/Logging_0840/tillsyn/A 60875-2025 tillsynsbegäran.docx", "A 60875-2025")</f>
        <v/>
      </c>
      <c r="AD17">
        <f>HYPERLINK("https://klasma.github.io/Logging_0840/tillsynsmail/A 60875-2025 tillsynsbegäran mail.docx", "A 60875-2025")</f>
        <v/>
      </c>
      <c r="AE17">
        <f>HYPERLINK("https://klasma.github.io/Logging_0840/fåglar/A 60875-2025 prioriterade fågelarter.docx", "A 60875-2025")</f>
        <v/>
      </c>
    </row>
    <row r="18" ht="15" customHeight="1">
      <c r="A18" t="inlineStr">
        <is>
          <t>A 24778-2022</t>
        </is>
      </c>
      <c r="B18" t="inlineStr">
        <is>
          <t>avverkningsanmälan</t>
        </is>
      </c>
      <c r="C18" t="inlineStr">
        <is>
          <t>Föryngringsavverkning</t>
        </is>
      </c>
      <c r="D18" s="1" t="n">
        <v>44728</v>
      </c>
      <c r="E18" s="1" t="n">
        <v>46225</v>
      </c>
      <c r="F18" t="inlineStr">
        <is>
          <t>KALMAR LÄN</t>
        </is>
      </c>
      <c r="G18" t="inlineStr">
        <is>
          <t>MÖRBYLÅNGA</t>
        </is>
      </c>
      <c r="I18" t="n">
        <v>1</v>
      </c>
      <c r="J18" t="n">
        <v>1</v>
      </c>
      <c r="K18" t="n">
        <v>2</v>
      </c>
      <c r="L18" t="n">
        <v>7</v>
      </c>
      <c r="M18" t="n">
        <v>0</v>
      </c>
      <c r="N18" t="n">
        <v>1</v>
      </c>
      <c r="O18" t="n">
        <v>0</v>
      </c>
      <c r="P18" t="n">
        <v>0</v>
      </c>
      <c r="Q18" t="n">
        <v>8</v>
      </c>
      <c r="R18" t="n">
        <v>1</v>
      </c>
      <c r="S18" t="n">
        <v>11</v>
      </c>
      <c r="T18" t="n">
        <v>19</v>
      </c>
      <c r="U18" t="n">
        <v>19</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46225</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46225</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46225</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46225</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46225</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46225</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46225</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46225</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46225</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46225</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46225</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46225</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26440-2026</t>
        </is>
      </c>
      <c r="B31" t="inlineStr">
        <is>
          <t>avverkningsanmälan</t>
        </is>
      </c>
      <c r="C31" t="inlineStr">
        <is>
          <t>Avverkning för annat ändamål</t>
        </is>
      </c>
      <c r="D31" s="1" t="n">
        <v>46183</v>
      </c>
      <c r="E31" s="1" t="n">
        <v>46225</v>
      </c>
      <c r="F31" t="inlineStr">
        <is>
          <t>KALMAR LÄN</t>
        </is>
      </c>
      <c r="G31" t="inlineStr">
        <is>
          <t>MÖRBYLÅNGA</t>
        </is>
      </c>
      <c r="I31" t="n">
        <v>1.1</v>
      </c>
      <c r="J31" t="n">
        <v>1</v>
      </c>
      <c r="K31" t="n">
        <v>3</v>
      </c>
      <c r="L31" t="n">
        <v>1</v>
      </c>
      <c r="M31" t="n">
        <v>0</v>
      </c>
      <c r="N31" t="n">
        <v>0</v>
      </c>
      <c r="O31" t="n">
        <v>0</v>
      </c>
      <c r="P31" t="n">
        <v>0</v>
      </c>
      <c r="Q31" t="n">
        <v>1</v>
      </c>
      <c r="R31" t="n">
        <v>0</v>
      </c>
      <c r="S31" t="n">
        <v>4</v>
      </c>
      <c r="T31" t="n">
        <v>5</v>
      </c>
      <c r="U31" t="n">
        <v>0</v>
      </c>
      <c r="V31" s="2" t="inlineStr">
        <is>
          <t>Backstarr
Murgröna
Nästrot
Vätteros</t>
        </is>
      </c>
      <c r="W31">
        <f>HYPERLINK("https://klasma.github.io/Logging_0840/artfynd/A 26440-2026 artfynd.xlsx", "A 26440-2026")</f>
        <v/>
      </c>
      <c r="X31">
        <f>HYPERLINK("https://klasma.github.io/Logging_0840/kartor/A 26440-2026 karta.png", "A 26440-2026")</f>
        <v/>
      </c>
      <c r="Y31">
        <f>HYPERLINK("https://klasma.github.io/Logging_0840/kartor_geotiff/A 26440-2026 georefererad karta.tif", "A 26440-2026")</f>
        <v/>
      </c>
      <c r="AA31">
        <f>HYPERLINK("https://klasma.github.io/Logging_0840/klagomål/A 26440-2026 FSC-klagomål.docx", "A 26440-2026")</f>
        <v/>
      </c>
      <c r="AB31">
        <f>HYPERLINK("https://klasma.github.io/Logging_0840/klagomålsmail/A 26440-2026 FSC-klagomål mail.docx", "A 26440-2026")</f>
        <v/>
      </c>
      <c r="AC31">
        <f>HYPERLINK("https://klasma.github.io/Logging_0840/tillsyn/A 26440-2026 tillsynsbegäran.docx", "A 26440-2026")</f>
        <v/>
      </c>
      <c r="AD31">
        <f>HYPERLINK("https://klasma.github.io/Logging_0840/tillsynsmail/A 26440-2026 tillsynsbegäran mail.docx", "A 26440-2026")</f>
        <v/>
      </c>
    </row>
    <row r="32" ht="15" customHeight="1">
      <c r="A32" t="inlineStr">
        <is>
          <t>A 54167-2024</t>
        </is>
      </c>
      <c r="B32" t="inlineStr">
        <is>
          <t>avverkningsanmälan</t>
        </is>
      </c>
      <c r="C32" t="inlineStr">
        <is>
          <t>Föryngringsavverkning</t>
        </is>
      </c>
      <c r="D32" s="1" t="n">
        <v>45616</v>
      </c>
      <c r="E32" s="1" t="n">
        <v>46225</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19459-2023</t>
        </is>
      </c>
      <c r="B33" t="inlineStr">
        <is>
          <t>avverkningsanmälan</t>
        </is>
      </c>
      <c r="C33" t="inlineStr">
        <is>
          <t>Avverkning för annat ändamål</t>
        </is>
      </c>
      <c r="D33" s="1" t="n">
        <v>45049</v>
      </c>
      <c r="E33" s="1" t="n">
        <v>46225</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46225</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46225</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46225</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46225</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29360-2026</t>
        </is>
      </c>
      <c r="B38" t="inlineStr">
        <is>
          <t>avverkningsanmälan</t>
        </is>
      </c>
      <c r="C38" t="inlineStr">
        <is>
          <t>Avverkning för annat ändamål</t>
        </is>
      </c>
      <c r="D38" s="1" t="n">
        <v>46203</v>
      </c>
      <c r="E38" s="1" t="n">
        <v>46225</v>
      </c>
      <c r="F38" t="inlineStr">
        <is>
          <t>KALMAR LÄN</t>
        </is>
      </c>
      <c r="G38" t="inlineStr">
        <is>
          <t>MÖRBYLÅNGA</t>
        </is>
      </c>
      <c r="I38" t="n">
        <v>2.9</v>
      </c>
      <c r="J38" t="n">
        <v>0</v>
      </c>
      <c r="K38" t="n">
        <v>0</v>
      </c>
      <c r="L38" t="n">
        <v>1</v>
      </c>
      <c r="M38" t="n">
        <v>1</v>
      </c>
      <c r="N38" t="n">
        <v>0</v>
      </c>
      <c r="O38" t="n">
        <v>0</v>
      </c>
      <c r="P38" t="n">
        <v>0</v>
      </c>
      <c r="Q38" t="n">
        <v>2</v>
      </c>
      <c r="R38" t="n">
        <v>1</v>
      </c>
      <c r="S38" t="n">
        <v>2</v>
      </c>
      <c r="T38" t="n">
        <v>2</v>
      </c>
      <c r="U38" t="n">
        <v>0</v>
      </c>
      <c r="V38" s="2" t="inlineStr">
        <is>
          <t>Mindre blåvinge
Silversmygare</t>
        </is>
      </c>
      <c r="W38">
        <f>HYPERLINK("https://klasma.github.io/Logging_0840/artfynd/A 29360-2026 artfynd.xlsx", "A 29360-2026")</f>
        <v/>
      </c>
      <c r="X38">
        <f>HYPERLINK("https://klasma.github.io/Logging_0840/kartor/A 29360-2026 karta.png", "A 29360-2026")</f>
        <v/>
      </c>
      <c r="Y38">
        <f>HYPERLINK("https://klasma.github.io/Logging_0840/kartor_geotiff/A 29360-2026 georefererad karta.tif", "A 29360-2026")</f>
        <v/>
      </c>
      <c r="AA38">
        <f>HYPERLINK("https://klasma.github.io/Logging_0840/klagomål/A 29360-2026 FSC-klagomål.docx", "A 29360-2026")</f>
        <v/>
      </c>
      <c r="AB38">
        <f>HYPERLINK("https://klasma.github.io/Logging_0840/klagomålsmail/A 29360-2026 FSC-klagomål mail.docx", "A 29360-2026")</f>
        <v/>
      </c>
      <c r="AC38">
        <f>HYPERLINK("https://klasma.github.io/Logging_0840/tillsyn/A 29360-2026 tillsynsbegäran.docx", "A 29360-2026")</f>
        <v/>
      </c>
      <c r="AD38">
        <f>HYPERLINK("https://klasma.github.io/Logging_0840/tillsynsmail/A 29360-2026 tillsynsbegäran mail.docx", "A 29360-2026")</f>
        <v/>
      </c>
    </row>
    <row r="39" ht="15" customHeight="1">
      <c r="A39" t="inlineStr">
        <is>
          <t>A 72167-2021</t>
        </is>
      </c>
      <c r="B39" t="inlineStr">
        <is>
          <t>avverkningsanmälan</t>
        </is>
      </c>
      <c r="C39" t="inlineStr">
        <is>
          <t>Föryngringsavverkning</t>
        </is>
      </c>
      <c r="D39" s="1" t="n">
        <v>44544</v>
      </c>
      <c r="E39" s="1" t="n">
        <v>46225</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A 62231-2023</t>
        </is>
      </c>
      <c r="B40" t="inlineStr">
        <is>
          <t>avverkningsanmälan</t>
        </is>
      </c>
      <c r="C40" t="inlineStr">
        <is>
          <t>Avverkning för annat ändamål</t>
        </is>
      </c>
      <c r="D40" s="1" t="n">
        <v>45267</v>
      </c>
      <c r="E40" s="1" t="n">
        <v>46225</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A 13040-2024</t>
        </is>
      </c>
      <c r="B41" t="inlineStr">
        <is>
          <t>avverkningsanmälan</t>
        </is>
      </c>
      <c r="C41" t="inlineStr">
        <is>
          <t>Avverkning för annat ändamål</t>
        </is>
      </c>
      <c r="D41" s="1" t="n">
        <v>45385</v>
      </c>
      <c r="E41" s="1" t="n">
        <v>46225</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24698-2023</t>
        </is>
      </c>
      <c r="B42" t="inlineStr">
        <is>
          <t>avverkningsanmälan</t>
        </is>
      </c>
      <c r="C42" t="inlineStr">
        <is>
          <t>Föryngringsavverkning</t>
        </is>
      </c>
      <c r="D42" s="1" t="n">
        <v>45084</v>
      </c>
      <c r="E42" s="1" t="n">
        <v>46225</v>
      </c>
      <c r="F42" t="inlineStr">
        <is>
          <t>KALMAR LÄN</t>
        </is>
      </c>
      <c r="G42" t="inlineStr">
        <is>
          <t>MÖRBYLÅNGA</t>
        </is>
      </c>
      <c r="I42" t="n">
        <v>5.5</v>
      </c>
      <c r="J42" t="n">
        <v>0</v>
      </c>
      <c r="K42" t="n">
        <v>0</v>
      </c>
      <c r="L42" t="n">
        <v>1</v>
      </c>
      <c r="M42" t="n">
        <v>0</v>
      </c>
      <c r="N42" t="n">
        <v>0</v>
      </c>
      <c r="O42" t="n">
        <v>0</v>
      </c>
      <c r="P42" t="n">
        <v>0</v>
      </c>
      <c r="Q42" t="n">
        <v>1</v>
      </c>
      <c r="R42" t="n">
        <v>0</v>
      </c>
      <c r="S42" t="n">
        <v>1</v>
      </c>
      <c r="T42" t="n">
        <v>1</v>
      </c>
      <c r="U42" t="n">
        <v>1</v>
      </c>
      <c r="V42" s="2" t="inlineStr">
        <is>
          <t>Sårläka</t>
        </is>
      </c>
      <c r="W42">
        <f>HYPERLINK("https://klasma.github.io/Logging_0840/artfynd/A 24698-2023 artfynd.xlsx", "A 24698-2023")</f>
        <v/>
      </c>
      <c r="X42">
        <f>HYPERLINK("https://klasma.github.io/Logging_0840/kartor/A 24698-2023 karta.png", "A 24698-2023")</f>
        <v/>
      </c>
      <c r="Y42">
        <f>HYPERLINK("https://klasma.github.io/Logging_0840/kartor_geotiff/A 24698-2023 georefererad karta.tif", "A 24698-2023")</f>
        <v/>
      </c>
      <c r="AA42">
        <f>HYPERLINK("https://klasma.github.io/Logging_0840/klagomål/A 24698-2023 FSC-klagomål.docx", "A 24698-2023")</f>
        <v/>
      </c>
      <c r="AB42">
        <f>HYPERLINK("https://klasma.github.io/Logging_0840/klagomålsmail/A 24698-2023 FSC-klagomål mail.docx", "A 24698-2023")</f>
        <v/>
      </c>
      <c r="AC42">
        <f>HYPERLINK("https://klasma.github.io/Logging_0840/tillsyn/A 24698-2023 tillsynsbegäran.docx", "A 24698-2023")</f>
        <v/>
      </c>
      <c r="AD42">
        <f>HYPERLINK("https://klasma.github.io/Logging_0840/tillsynsmail/A 24698-2023 tillsynsbegäran mail.docx", "A 24698-2023")</f>
        <v/>
      </c>
    </row>
    <row r="43" ht="15" customHeight="1">
      <c r="A43" t="inlineStr">
        <is>
          <t>A 13384-2023</t>
        </is>
      </c>
      <c r="B43" t="inlineStr">
        <is>
          <t>avverkningsanmälan</t>
        </is>
      </c>
      <c r="C43" t="inlineStr">
        <is>
          <t>Föryngringsavverkning</t>
        </is>
      </c>
      <c r="D43" s="1" t="n">
        <v>45005</v>
      </c>
      <c r="E43" s="1" t="n">
        <v>46225</v>
      </c>
      <c r="F43" t="inlineStr">
        <is>
          <t>KALMAR LÄN</t>
        </is>
      </c>
      <c r="G43" t="inlineStr">
        <is>
          <t>MÖRBYLÅNGA</t>
        </is>
      </c>
      <c r="I43" t="n">
        <v>0.9</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HYPERLINK("https://klasma.github.io/Logging_0840/artfynd/A 13384-2023 artfynd.xlsx", "A 13384-2023")</f>
        <v/>
      </c>
      <c r="X43">
        <f>HYPERLINK("https://klasma.github.io/Logging_0840/kartor/A 13384-2023 karta.png", "A 13384-2023")</f>
        <v/>
      </c>
      <c r="Y43">
        <f>HYPERLINK("https://klasma.github.io/Logging_0840/kartor_geotiff/A 13384-2023 georefererad karta.tif", "A 13384-2023")</f>
        <v/>
      </c>
      <c r="AA43">
        <f>HYPERLINK("https://klasma.github.io/Logging_0840/klagomål/A 13384-2023 FSC-klagomål.docx", "A 13384-2023")</f>
        <v/>
      </c>
      <c r="AB43">
        <f>HYPERLINK("https://klasma.github.io/Logging_0840/klagomålsmail/A 13384-2023 FSC-klagomål mail.docx", "A 13384-2023")</f>
        <v/>
      </c>
      <c r="AC43">
        <f>HYPERLINK("https://klasma.github.io/Logging_0840/tillsyn/A 13384-2023 tillsynsbegäran.docx", "A 13384-2023")</f>
        <v/>
      </c>
      <c r="AD43">
        <f>HYPERLINK("https://klasma.github.io/Logging_0840/tillsynsmail/A 13384-2023 tillsynsbegäran mail.docx", "A 13384-2023")</f>
        <v/>
      </c>
    </row>
    <row r="44" ht="15" customHeight="1">
      <c r="A44" t="inlineStr">
        <is>
          <t>A 62183-2025</t>
        </is>
      </c>
      <c r="B44" t="inlineStr">
        <is>
          <t>avverkningsanmälan</t>
        </is>
      </c>
      <c r="C44" t="inlineStr">
        <is>
          <t>Föryngringsavverkning</t>
        </is>
      </c>
      <c r="D44" s="1" t="n">
        <v>46006</v>
      </c>
      <c r="E44" s="1" t="n">
        <v>46225</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30492-2026</t>
        </is>
      </c>
      <c r="B45" t="inlineStr">
        <is>
          <t>avverkningsanmälan</t>
        </is>
      </c>
      <c r="C45" t="inlineStr">
        <is>
          <t>Avverkning för annat ändamål</t>
        </is>
      </c>
      <c r="D45" s="1" t="n">
        <v>46210</v>
      </c>
      <c r="E45" s="1" t="n">
        <v>46225</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26876-2022</t>
        </is>
      </c>
      <c r="B46" t="inlineStr">
        <is>
          <t>avverkningsanmälan</t>
        </is>
      </c>
      <c r="C46" t="inlineStr">
        <is>
          <t>Avverkning för annat ändamål</t>
        </is>
      </c>
      <c r="D46" s="1" t="n">
        <v>44740</v>
      </c>
      <c r="E46" s="1" t="n">
        <v>46225</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57407-2025</t>
        </is>
      </c>
      <c r="B47" t="inlineStr">
        <is>
          <t>avverkningsanmälan</t>
        </is>
      </c>
      <c r="C47" t="inlineStr">
        <is>
          <t>Föryngringsavverkning</t>
        </is>
      </c>
      <c r="D47" s="1" t="n">
        <v>45980</v>
      </c>
      <c r="E47" s="1" t="n">
        <v>46225</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t="n">
        <v>0</v>
      </c>
      <c r="V47" s="2" t="inlineStr"/>
    </row>
    <row r="48">
      <c r="A48" t="inlineStr">
        <is>
          <t>S 1602-2026</t>
        </is>
      </c>
      <c r="B48" t="inlineStr">
        <is>
          <t>samrådsanmälan</t>
        </is>
      </c>
      <c r="C48" t="inlineStr">
        <is>
          <t>Annan skogsbruksåtgärd</t>
        </is>
      </c>
      <c r="D48" s="1" t="n">
        <v>46171</v>
      </c>
      <c r="E48" s="1" t="n">
        <v>46225</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2026-07-22T01:33:48Z</dcterms:created>
  <dcterms:modified xmlns:dcterms="http://purl.org/dc/terms/" xmlns:xsi="http://www.w3.org/2001/XMLSchema-instance" xsi:type="dcterms:W3CDTF">2026-07-22T01:33:48Z</dcterms:modified>
</cp:coreProperties>
</file>