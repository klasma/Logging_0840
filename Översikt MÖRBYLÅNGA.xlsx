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46322</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46322</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46322</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46322</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46322</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46322</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46322</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46322</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46322</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46322</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46322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46322</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46322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15600-2025</t>
        </is>
      </c>
      <c r="B19" t="inlineStr">
        <is>
          <t>avverkningsanmälan</t>
        </is>
      </c>
      <c r="C19" t="inlineStr">
        <is>
          <t>Avverkning för annat ändamål</t>
        </is>
      </c>
      <c r="D19" s="1" t="n">
        <v>45747</v>
      </c>
      <c r="E19" s="1" t="n">
        <v>46322</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46322</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46322</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46322</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46322</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46322</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46322</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46322</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46322</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46322</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46322</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46322</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46322</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26440-2026</t>
        </is>
      </c>
      <c r="B32" t="inlineStr">
        <is>
          <t>avverkningsanmälan</t>
        </is>
      </c>
      <c r="C32" t="inlineStr">
        <is>
          <t>Avverkning för annat ändamål</t>
        </is>
      </c>
      <c r="D32" s="1" t="n">
        <v>46183</v>
      </c>
      <c r="E32" s="1" t="n">
        <v>46322</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54167-2024</t>
        </is>
      </c>
      <c r="B33" t="inlineStr">
        <is>
          <t>avverkningsanmälan</t>
        </is>
      </c>
      <c r="C33" t="inlineStr">
        <is>
          <t>Föryngringsavverkning</t>
        </is>
      </c>
      <c r="D33" s="1" t="n">
        <v>45616</v>
      </c>
      <c r="E33" s="1" t="n">
        <v>46322</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34431-2026</t>
        </is>
      </c>
      <c r="B34" t="inlineStr">
        <is>
          <t>avverkningsanmälan</t>
        </is>
      </c>
      <c r="C34" t="inlineStr">
        <is>
          <t>Avverkning för annat ändamål</t>
        </is>
      </c>
      <c r="D34" s="1" t="n">
        <v>46254</v>
      </c>
      <c r="E34" s="1" t="n">
        <v>46322</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46322</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46322</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46322</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46322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46322</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46322</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24698-2023</t>
        </is>
      </c>
      <c r="B41" t="inlineStr">
        <is>
          <t>avverkningsanmälan</t>
        </is>
      </c>
      <c r="C41" t="inlineStr">
        <is>
          <t>Föryngringsavverkning</t>
        </is>
      </c>
      <c r="D41" s="1" t="n">
        <v>45084</v>
      </c>
      <c r="E41" s="1" t="n">
        <v>46322</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46322</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30492-2026</t>
        </is>
      </c>
      <c r="B43" t="inlineStr">
        <is>
          <t>avverkningsanmälan</t>
        </is>
      </c>
      <c r="C43" t="inlineStr">
        <is>
          <t>Avverkning för annat ändamål</t>
        </is>
      </c>
      <c r="D43" s="1" t="n">
        <v>46210</v>
      </c>
      <c r="E43" s="1" t="n">
        <v>46322</v>
      </c>
      <c r="F43" t="inlineStr">
        <is>
          <t>KALMAR LÄN</t>
        </is>
      </c>
      <c r="G43" t="inlineStr">
        <is>
          <t>MÖRBYLÅNGA</t>
        </is>
      </c>
      <c r="I43" t="n">
        <v>2</v>
      </c>
      <c r="J43" t="n">
        <v>0</v>
      </c>
      <c r="K43" t="n">
        <v>0</v>
      </c>
      <c r="L43" t="n">
        <v>1</v>
      </c>
      <c r="M43" t="n">
        <v>0</v>
      </c>
      <c r="N43" t="n">
        <v>0</v>
      </c>
      <c r="O43" t="n">
        <v>0</v>
      </c>
      <c r="P43" t="n">
        <v>0</v>
      </c>
      <c r="Q43" t="n">
        <v>1</v>
      </c>
      <c r="R43" t="n">
        <v>0</v>
      </c>
      <c r="S43" t="n">
        <v>1</v>
      </c>
      <c r="T43" t="n">
        <v>1</v>
      </c>
      <c r="U43" t="n">
        <v>0</v>
      </c>
      <c r="V43" s="2" t="inlineStr">
        <is>
          <t>Jordtistel</t>
        </is>
      </c>
      <c r="W43">
        <f>HYPERLINK("https://klasma.github.io/Logging_0840/artfynd/A 30492-2026 artfynd.xlsx", "A 30492-2026")</f>
        <v/>
      </c>
      <c r="X43">
        <f>HYPERLINK("https://klasma.github.io/Logging_0840/kartor/A 30492-2026 karta.png", "A 30492-2026")</f>
        <v/>
      </c>
      <c r="Y43">
        <f>HYPERLINK("https://klasma.github.io/Logging_0840/kartor_geotiff/A 30492-2026 georefererad karta.tif", "A 30492-2026")</f>
        <v/>
      </c>
      <c r="AA43">
        <f>HYPERLINK("https://klasma.github.io/Logging_0840/klagomål/A 30492-2026 FSC-klagomål.docx", "A 30492-2026")</f>
        <v/>
      </c>
      <c r="AB43">
        <f>HYPERLINK("https://klasma.github.io/Logging_0840/klagomålsmail/A 30492-2026 FSC-klagomål mail.docx", "A 30492-2026")</f>
        <v/>
      </c>
      <c r="AC43">
        <f>HYPERLINK("https://klasma.github.io/Logging_0840/tillsyn/A 30492-2026 tillsynsbegäran.docx", "A 30492-2026")</f>
        <v/>
      </c>
      <c r="AD43">
        <f>HYPERLINK("https://klasma.github.io/Logging_0840/tillsynsmail/A 30492-2026 tillsynsbegäran mail.docx", "A 30492-2026")</f>
        <v/>
      </c>
    </row>
    <row r="44" ht="15" customHeight="1">
      <c r="A44" t="inlineStr">
        <is>
          <t>A 13040-2024</t>
        </is>
      </c>
      <c r="B44" t="inlineStr">
        <is>
          <t>avverkningsanmälan</t>
        </is>
      </c>
      <c r="C44" t="inlineStr">
        <is>
          <t>Avverkning för annat ändamål</t>
        </is>
      </c>
      <c r="D44" s="1" t="n">
        <v>45385</v>
      </c>
      <c r="E44" s="1" t="n">
        <v>46322</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46322</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36928-2026</t>
        </is>
      </c>
      <c r="B46" t="inlineStr">
        <is>
          <t>avverkningsanmälan</t>
        </is>
      </c>
      <c r="C46" t="inlineStr">
        <is>
          <t>Föryngringsavverkning</t>
        </is>
      </c>
      <c r="D46" s="1" t="n">
        <v>46273</v>
      </c>
      <c r="E46" s="1" t="n">
        <v>46322</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46322</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46322</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46322</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46322</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46322</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2026-10-27T03:09:04Z</dcterms:created>
  <dcterms:modified xmlns:dcterms="http://purl.org/dc/terms/" xmlns:xsi="http://www.w3.org/2001/XMLSchema-instance" xsi:type="dcterms:W3CDTF">2026-10-27T03:09:04Z</dcterms:modified>
</cp:coreProperties>
</file>