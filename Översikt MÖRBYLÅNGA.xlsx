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46269</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46269</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46269</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46269</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46269</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46269</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46269</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46269</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46269</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46269</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46269</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46269</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46269</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46269</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46269</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60875-2025</t>
        </is>
      </c>
      <c r="B17" t="inlineStr">
        <is>
          <t>avverkningsanmälan</t>
        </is>
      </c>
      <c r="C17" t="inlineStr">
        <is>
          <t>Föryngringsavverkning</t>
        </is>
      </c>
      <c r="D17" s="1" t="n">
        <v>45999</v>
      </c>
      <c r="E17" s="1" t="n">
        <v>46269</v>
      </c>
      <c r="F17" t="inlineStr">
        <is>
          <t>KALMAR LÄN</t>
        </is>
      </c>
      <c r="G17" t="inlineStr">
        <is>
          <t>MÖRBYLÅNGA</t>
        </is>
      </c>
      <c r="I17" t="n">
        <v>2.1</v>
      </c>
      <c r="J17" t="n">
        <v>8</v>
      </c>
      <c r="K17" t="n">
        <v>1</v>
      </c>
      <c r="L17" t="n">
        <v>5</v>
      </c>
      <c r="M17" t="n">
        <v>0</v>
      </c>
      <c r="N17" t="n">
        <v>1</v>
      </c>
      <c r="O17" t="n">
        <v>1</v>
      </c>
      <c r="P17" t="n">
        <v>0</v>
      </c>
      <c r="Q17" t="n">
        <v>7</v>
      </c>
      <c r="R17" t="n">
        <v>2</v>
      </c>
      <c r="S17" t="n">
        <v>11</v>
      </c>
      <c r="T17" t="n">
        <v>12</v>
      </c>
      <c r="U17" t="n">
        <v>3</v>
      </c>
      <c r="V17" s="2" t="inlineStr">
        <is>
          <t>Järnek
Mosippa
Grönsångare
Gulsparv
Göktyta
Mindre hackspett
Svinrot
Murgröna
Spillkråka
Kråka
Skogsduva</t>
        </is>
      </c>
      <c r="W17">
        <f>HYPERLINK("https://klasma.github.io/Logging_0840/artfynd/A 60875-2025 artfynd.xlsx", "A 60875-2025")</f>
        <v/>
      </c>
      <c r="X17">
        <f>HYPERLINK("https://klasma.github.io/Logging_0840/kartor/A 60875-2025 karta.png", "A 60875-2025")</f>
        <v/>
      </c>
      <c r="Y17">
        <f>HYPERLINK("https://klasma.github.io/Logging_0840/kartor_geotiff/A 60875-2025 georefererad karta.tif", "A 60875-2025")</f>
        <v/>
      </c>
      <c r="AA17">
        <f>HYPERLINK("https://klasma.github.io/Logging_0840/klagomål/A 60875-2025 FSC-klagomål.docx", "A 60875-2025")</f>
        <v/>
      </c>
      <c r="AB17">
        <f>HYPERLINK("https://klasma.github.io/Logging_0840/klagomålsmail/A 60875-2025 FSC-klagomål mail.docx", "A 60875-2025")</f>
        <v/>
      </c>
      <c r="AC17">
        <f>HYPERLINK("https://klasma.github.io/Logging_0840/tillsyn/A 60875-2025 tillsynsbegäran.docx", "A 60875-2025")</f>
        <v/>
      </c>
      <c r="AD17">
        <f>HYPERLINK("https://klasma.github.io/Logging_0840/tillsynsmail/A 60875-2025 tillsynsbegäran mail.docx", "A 60875-2025")</f>
        <v/>
      </c>
      <c r="AE17">
        <f>HYPERLINK("https://klasma.github.io/Logging_0840/fåglar/A 60875-2025 prioriterade fågelarter.docx", "A 60875-2025")</f>
        <v/>
      </c>
    </row>
    <row r="18" ht="15" customHeight="1">
      <c r="A18" t="inlineStr">
        <is>
          <t>A 24778-2022</t>
        </is>
      </c>
      <c r="B18" t="inlineStr">
        <is>
          <t>avverkningsanmälan</t>
        </is>
      </c>
      <c r="C18" t="inlineStr">
        <is>
          <t>Föryngringsavverkning</t>
        </is>
      </c>
      <c r="D18" s="1" t="n">
        <v>44728</v>
      </c>
      <c r="E18" s="1" t="n">
        <v>46269</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46269</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46269</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46269</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46269</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46269</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46269</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46269</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46269</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46269</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46269</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46269</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46269</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46269</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46269</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46269</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46269</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15600-2025</t>
        </is>
      </c>
      <c r="B35" t="inlineStr">
        <is>
          <t>avverkningsanmälan</t>
        </is>
      </c>
      <c r="C35" t="inlineStr">
        <is>
          <t>Avverkning för annat ändamål</t>
        </is>
      </c>
      <c r="D35" s="1" t="n">
        <v>45747</v>
      </c>
      <c r="E35" s="1" t="n">
        <v>46269</v>
      </c>
      <c r="F35" t="inlineStr">
        <is>
          <t>KALMAR LÄN</t>
        </is>
      </c>
      <c r="G35" t="inlineStr">
        <is>
          <t>MÖRBYLÅNGA</t>
        </is>
      </c>
      <c r="I35" t="n">
        <v>1.1</v>
      </c>
      <c r="J35" t="n">
        <v>0</v>
      </c>
      <c r="K35" t="n">
        <v>3</v>
      </c>
      <c r="L35" t="n">
        <v>0</v>
      </c>
      <c r="M35" t="n">
        <v>0</v>
      </c>
      <c r="N35" t="n">
        <v>0</v>
      </c>
      <c r="O35" t="n">
        <v>0</v>
      </c>
      <c r="P35" t="n">
        <v>0</v>
      </c>
      <c r="Q35" t="n">
        <v>0</v>
      </c>
      <c r="R35" t="n">
        <v>0</v>
      </c>
      <c r="S35" t="n">
        <v>3</v>
      </c>
      <c r="T35" t="n">
        <v>3</v>
      </c>
      <c r="U35" t="n">
        <v>1</v>
      </c>
      <c r="V35" s="2" t="inlineStr">
        <is>
          <t>Kragjordstjärna
Murgröna
Scharlakansvårskål agg.</t>
        </is>
      </c>
      <c r="W35">
        <f>HYPERLINK("https://klasma.github.io/Logging_0840/artfynd/A 15600-2025 artfynd.xlsx", "A 15600-2025")</f>
        <v/>
      </c>
      <c r="X35">
        <f>HYPERLINK("https://klasma.github.io/Logging_0840/kartor/A 15600-2025 karta.png", "A 15600-2025")</f>
        <v/>
      </c>
      <c r="Y35">
        <f>HYPERLINK("https://klasma.github.io/Logging_0840/kartor_geotiff/A 15600-2025 georefererad karta.tif", "A 15600-2025")</f>
        <v/>
      </c>
      <c r="AA35">
        <f>HYPERLINK("https://klasma.github.io/Logging_0840/klagomål/A 15600-2025 FSC-klagomål.docx", "A 15600-2025")</f>
        <v/>
      </c>
      <c r="AB35">
        <f>HYPERLINK("https://klasma.github.io/Logging_0840/klagomålsmail/A 15600-2025 FSC-klagomål mail.docx", "A 15600-2025")</f>
        <v/>
      </c>
      <c r="AC35">
        <f>HYPERLINK("https://klasma.github.io/Logging_0840/tillsyn/A 15600-2025 tillsynsbegäran.docx", "A 15600-2025")</f>
        <v/>
      </c>
      <c r="AD35">
        <f>HYPERLINK("https://klasma.github.io/Logging_0840/tillsynsmail/A 15600-2025 tillsynsbegäran mail.docx", "A 15600-2025")</f>
        <v/>
      </c>
    </row>
    <row r="36" ht="15" customHeight="1">
      <c r="A36" t="inlineStr">
        <is>
          <t>A 43702-2025</t>
        </is>
      </c>
      <c r="B36" t="inlineStr">
        <is>
          <t>avverkningsanmälan</t>
        </is>
      </c>
      <c r="C36" t="inlineStr">
        <is>
          <t>Föryngringsavverkning</t>
        </is>
      </c>
      <c r="D36" s="1" t="n">
        <v>45912</v>
      </c>
      <c r="E36" s="1" t="n">
        <v>46269</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34431-2026</t>
        </is>
      </c>
      <c r="B37" t="inlineStr">
        <is>
          <t>avverkningsanmälan</t>
        </is>
      </c>
      <c r="C37" t="inlineStr">
        <is>
          <t>Avverkning för annat ändamål</t>
        </is>
      </c>
      <c r="D37" s="1" t="n">
        <v>46254</v>
      </c>
      <c r="E37" s="1" t="n">
        <v>46269</v>
      </c>
      <c r="F37" t="inlineStr">
        <is>
          <t>KALMAR LÄN</t>
        </is>
      </c>
      <c r="G37" t="inlineStr">
        <is>
          <t>MÖRBYLÅNGA</t>
        </is>
      </c>
      <c r="I37" t="n">
        <v>8.300000000000001</v>
      </c>
      <c r="J37" t="n">
        <v>2</v>
      </c>
      <c r="K37" t="n">
        <v>0</v>
      </c>
      <c r="L37" t="n">
        <v>3</v>
      </c>
      <c r="M37" t="n">
        <v>0</v>
      </c>
      <c r="N37" t="n">
        <v>0</v>
      </c>
      <c r="O37" t="n">
        <v>0</v>
      </c>
      <c r="P37" t="n">
        <v>0</v>
      </c>
      <c r="Q37" t="n">
        <v>3</v>
      </c>
      <c r="R37" t="n">
        <v>0</v>
      </c>
      <c r="S37" t="n">
        <v>3</v>
      </c>
      <c r="T37" t="n">
        <v>4</v>
      </c>
      <c r="U37" t="n">
        <v>0</v>
      </c>
      <c r="V37" s="2" t="inlineStr">
        <is>
          <t>Entita
Mindre hackspett
Sandtimotej</t>
        </is>
      </c>
      <c r="W37">
        <f>HYPERLINK("https://klasma.github.io/Logging_0840/artfynd/A 34431-2026 artfynd.xlsx", "A 34431-2026")</f>
        <v/>
      </c>
      <c r="X37">
        <f>HYPERLINK("https://klasma.github.io/Logging_0840/kartor/A 34431-2026 karta.png", "A 34431-2026")</f>
        <v/>
      </c>
      <c r="Y37">
        <f>HYPERLINK("https://klasma.github.io/Logging_0840/kartor_geotiff/A 34431-2026 georefererad karta.tif", "A 34431-2026")</f>
        <v/>
      </c>
      <c r="AA37">
        <f>HYPERLINK("https://klasma.github.io/Logging_0840/klagomål/A 34431-2026 FSC-klagomål.docx", "A 34431-2026")</f>
        <v/>
      </c>
      <c r="AB37">
        <f>HYPERLINK("https://klasma.github.io/Logging_0840/klagomålsmail/A 34431-2026 FSC-klagomål mail.docx", "A 34431-2026")</f>
        <v/>
      </c>
      <c r="AC37">
        <f>HYPERLINK("https://klasma.github.io/Logging_0840/tillsyn/A 34431-2026 tillsynsbegäran.docx", "A 34431-2026")</f>
        <v/>
      </c>
      <c r="AD37">
        <f>HYPERLINK("https://klasma.github.io/Logging_0840/tillsynsmail/A 34431-2026 tillsynsbegäran mail.docx", "A 34431-2026")</f>
        <v/>
      </c>
      <c r="AE37">
        <f>HYPERLINK("https://klasma.github.io/Logging_0840/fåglar/A 34431-2026 prioriterade fågelarter.docx", "A 34431-2026")</f>
        <v/>
      </c>
    </row>
    <row r="38" ht="15" customHeight="1">
      <c r="A38" t="inlineStr">
        <is>
          <t>A 29360-2026</t>
        </is>
      </c>
      <c r="B38" t="inlineStr">
        <is>
          <t>avverkningsanmälan</t>
        </is>
      </c>
      <c r="C38" t="inlineStr">
        <is>
          <t>Avverkning för annat ändamål</t>
        </is>
      </c>
      <c r="D38" s="1" t="n">
        <v>46203</v>
      </c>
      <c r="E38" s="1" t="n">
        <v>46269</v>
      </c>
      <c r="F38" t="inlineStr">
        <is>
          <t>KALMAR LÄN</t>
        </is>
      </c>
      <c r="G38" t="inlineStr">
        <is>
          <t>MÖRBYLÅNGA</t>
        </is>
      </c>
      <c r="I38" t="n">
        <v>2.9</v>
      </c>
      <c r="J38" t="n">
        <v>1</v>
      </c>
      <c r="K38" t="n">
        <v>1</v>
      </c>
      <c r="L38" t="n">
        <v>1</v>
      </c>
      <c r="M38" t="n">
        <v>1</v>
      </c>
      <c r="N38" t="n">
        <v>0</v>
      </c>
      <c r="O38" t="n">
        <v>0</v>
      </c>
      <c r="P38" t="n">
        <v>0</v>
      </c>
      <c r="Q38" t="n">
        <v>2</v>
      </c>
      <c r="R38" t="n">
        <v>1</v>
      </c>
      <c r="S38" t="n">
        <v>3</v>
      </c>
      <c r="T38" t="n">
        <v>3</v>
      </c>
      <c r="U38" t="n">
        <v>1</v>
      </c>
      <c r="V38" s="2" t="inlineStr">
        <is>
          <t>Mindre blåvinge
Silversmygare
Ekoxe</t>
        </is>
      </c>
      <c r="W38">
        <f>HYPERLINK("https://klasma.github.io/Logging_0840/artfynd/A 29360-2026 artfynd.xlsx", "A 29360-2026")</f>
        <v/>
      </c>
      <c r="X38">
        <f>HYPERLINK("https://klasma.github.io/Logging_0840/kartor/A 29360-2026 karta.png", "A 29360-2026")</f>
        <v/>
      </c>
      <c r="Y38">
        <f>HYPERLINK("https://klasma.github.io/Logging_0840/kartor_geotiff/A 29360-2026 georefererad karta.tif", "A 29360-2026")</f>
        <v/>
      </c>
      <c r="AA38">
        <f>HYPERLINK("https://klasma.github.io/Logging_0840/klagomål/A 29360-2026 FSC-klagomål.docx", "A 29360-2026")</f>
        <v/>
      </c>
      <c r="AB38">
        <f>HYPERLINK("https://klasma.github.io/Logging_0840/klagomålsmail/A 29360-2026 FSC-klagomål mail.docx", "A 29360-2026")</f>
        <v/>
      </c>
      <c r="AC38">
        <f>HYPERLINK("https://klasma.github.io/Logging_0840/tillsyn/A 29360-2026 tillsynsbegäran.docx", "A 29360-2026")</f>
        <v/>
      </c>
      <c r="AD38">
        <f>HYPERLINK("https://klasma.github.io/Logging_0840/tillsynsmail/A 29360-2026 tillsynsbegäran mail.docx", "A 29360-2026")</f>
        <v/>
      </c>
    </row>
    <row r="39" ht="15" customHeight="1">
      <c r="A39" t="inlineStr">
        <is>
          <t>A 54192-2021</t>
        </is>
      </c>
      <c r="B39" t="inlineStr">
        <is>
          <t>avverkningsanmälan</t>
        </is>
      </c>
      <c r="C39" t="inlineStr">
        <is>
          <t>Föryngringsavverkning</t>
        </is>
      </c>
      <c r="D39" s="1" t="n">
        <v>44470</v>
      </c>
      <c r="E39" s="1" t="n">
        <v>46269</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72167-2021</t>
        </is>
      </c>
      <c r="B40" t="inlineStr">
        <is>
          <t>avverkningsanmälan</t>
        </is>
      </c>
      <c r="C40" t="inlineStr">
        <is>
          <t>Föryngringsavverkning</t>
        </is>
      </c>
      <c r="D40" s="1" t="n">
        <v>44544</v>
      </c>
      <c r="E40" s="1" t="n">
        <v>46269</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62231-2023</t>
        </is>
      </c>
      <c r="B41" t="inlineStr">
        <is>
          <t>avverkningsanmälan</t>
        </is>
      </c>
      <c r="C41" t="inlineStr">
        <is>
          <t>Avverkning för annat ändamål</t>
        </is>
      </c>
      <c r="D41" s="1" t="n">
        <v>45267</v>
      </c>
      <c r="E41" s="1" t="n">
        <v>46269</v>
      </c>
      <c r="F41" t="inlineStr">
        <is>
          <t>KALMAR LÄN</t>
        </is>
      </c>
      <c r="G41" t="inlineStr">
        <is>
          <t>MÖRBYLÅNGA</t>
        </is>
      </c>
      <c r="I41" t="n">
        <v>1.6</v>
      </c>
      <c r="J41" t="n">
        <v>1</v>
      </c>
      <c r="K41" t="n">
        <v>1</v>
      </c>
      <c r="L41" t="n">
        <v>0</v>
      </c>
      <c r="M41" t="n">
        <v>0</v>
      </c>
      <c r="N41" t="n">
        <v>0</v>
      </c>
      <c r="O41" t="n">
        <v>0</v>
      </c>
      <c r="P41" t="n">
        <v>0</v>
      </c>
      <c r="Q41" t="n">
        <v>0</v>
      </c>
      <c r="R41" t="n">
        <v>0</v>
      </c>
      <c r="S41" t="n">
        <v>2</v>
      </c>
      <c r="T41" t="n">
        <v>2</v>
      </c>
      <c r="U41" t="n">
        <v>2</v>
      </c>
      <c r="V41" s="2" t="inlineStr">
        <is>
          <t>Murgröna
Blåsippa</t>
        </is>
      </c>
      <c r="W41">
        <f>HYPERLINK("https://klasma.github.io/Logging_0840/artfynd/A 62231-2023 artfynd.xlsx", "A 62231-2023")</f>
        <v/>
      </c>
      <c r="X41">
        <f>HYPERLINK("https://klasma.github.io/Logging_0840/kartor/A 62231-2023 karta.png", "A 62231-2023")</f>
        <v/>
      </c>
      <c r="Y41">
        <f>HYPERLINK("https://klasma.github.io/Logging_0840/kartor_geotiff/A 62231-2023 georefererad karta.tif", "A 62231-2023")</f>
        <v/>
      </c>
      <c r="AA41">
        <f>HYPERLINK("https://klasma.github.io/Logging_0840/klagomål/A 62231-2023 FSC-klagomål.docx", "A 62231-2023")</f>
        <v/>
      </c>
      <c r="AB41">
        <f>HYPERLINK("https://klasma.github.io/Logging_0840/klagomålsmail/A 62231-2023 FSC-klagomål mail.docx", "A 62231-2023")</f>
        <v/>
      </c>
      <c r="AC41">
        <f>HYPERLINK("https://klasma.github.io/Logging_0840/tillsyn/A 62231-2023 tillsynsbegäran.docx", "A 62231-2023")</f>
        <v/>
      </c>
      <c r="AD41">
        <f>HYPERLINK("https://klasma.github.io/Logging_0840/tillsynsmail/A 62231-2023 tillsynsbegäran mail.docx", "A 62231-2023")</f>
        <v/>
      </c>
    </row>
    <row r="42" ht="15" customHeight="1">
      <c r="A42" t="inlineStr">
        <is>
          <t>S 2138-2026</t>
        </is>
      </c>
      <c r="B42" t="inlineStr">
        <is>
          <t>samrådsanmälan</t>
        </is>
      </c>
      <c r="C42" t="inlineStr">
        <is>
          <t>Annan skogsbruksåtgärd</t>
        </is>
      </c>
      <c r="D42" s="1" t="n">
        <v>46246</v>
      </c>
      <c r="E42" s="1" t="n">
        <v>46269</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13040-2024</t>
        </is>
      </c>
      <c r="B43" t="inlineStr">
        <is>
          <t>avverkningsanmälan</t>
        </is>
      </c>
      <c r="C43" t="inlineStr">
        <is>
          <t>Avverkning för annat ändamål</t>
        </is>
      </c>
      <c r="D43" s="1" t="n">
        <v>45385</v>
      </c>
      <c r="E43" s="1" t="n">
        <v>46269</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24698-2023</t>
        </is>
      </c>
      <c r="B44" t="inlineStr">
        <is>
          <t>avverkningsanmälan</t>
        </is>
      </c>
      <c r="C44" t="inlineStr">
        <is>
          <t>Föryngringsavverkning</t>
        </is>
      </c>
      <c r="D44" s="1" t="n">
        <v>45084</v>
      </c>
      <c r="E44" s="1" t="n">
        <v>46269</v>
      </c>
      <c r="F44" t="inlineStr">
        <is>
          <t>KALMAR LÄN</t>
        </is>
      </c>
      <c r="G44" t="inlineStr">
        <is>
          <t>MÖRBYLÅNGA</t>
        </is>
      </c>
      <c r="I44" t="n">
        <v>5.5</v>
      </c>
      <c r="J44" t="n">
        <v>0</v>
      </c>
      <c r="K44" t="n">
        <v>0</v>
      </c>
      <c r="L44" t="n">
        <v>1</v>
      </c>
      <c r="M44" t="n">
        <v>0</v>
      </c>
      <c r="N44" t="n">
        <v>0</v>
      </c>
      <c r="O44" t="n">
        <v>0</v>
      </c>
      <c r="P44" t="n">
        <v>0</v>
      </c>
      <c r="Q44" t="n">
        <v>1</v>
      </c>
      <c r="R44" t="n">
        <v>0</v>
      </c>
      <c r="S44" t="n">
        <v>1</v>
      </c>
      <c r="T44" t="n">
        <v>1</v>
      </c>
      <c r="U44" t="n">
        <v>1</v>
      </c>
      <c r="V44" s="2" t="inlineStr">
        <is>
          <t>Sårläka</t>
        </is>
      </c>
      <c r="W44">
        <f>HYPERLINK("https://klasma.github.io/Logging_0840/artfynd/A 24698-2023 artfynd.xlsx", "A 24698-2023")</f>
        <v/>
      </c>
      <c r="X44">
        <f>HYPERLINK("https://klasma.github.io/Logging_0840/kartor/A 24698-2023 karta.png", "A 24698-2023")</f>
        <v/>
      </c>
      <c r="Y44">
        <f>HYPERLINK("https://klasma.github.io/Logging_0840/kartor_geotiff/A 24698-2023 georefererad karta.tif", "A 24698-2023")</f>
        <v/>
      </c>
      <c r="AA44">
        <f>HYPERLINK("https://klasma.github.io/Logging_0840/klagomål/A 24698-2023 FSC-klagomål.docx", "A 24698-2023")</f>
        <v/>
      </c>
      <c r="AB44">
        <f>HYPERLINK("https://klasma.github.io/Logging_0840/klagomålsmail/A 24698-2023 FSC-klagomål mail.docx", "A 24698-2023")</f>
        <v/>
      </c>
      <c r="AC44">
        <f>HYPERLINK("https://klasma.github.io/Logging_0840/tillsyn/A 24698-2023 tillsynsbegäran.docx", "A 24698-2023")</f>
        <v/>
      </c>
      <c r="AD44">
        <f>HYPERLINK("https://klasma.github.io/Logging_0840/tillsynsmail/A 24698-2023 tillsynsbegäran mail.docx", "A 24698-2023")</f>
        <v/>
      </c>
    </row>
    <row r="45" ht="15" customHeight="1">
      <c r="A45" t="inlineStr">
        <is>
          <t>A 13384-2023</t>
        </is>
      </c>
      <c r="B45" t="inlineStr">
        <is>
          <t>avverkningsanmälan</t>
        </is>
      </c>
      <c r="C45" t="inlineStr">
        <is>
          <t>Föryngringsavverkning</t>
        </is>
      </c>
      <c r="D45" s="1" t="n">
        <v>45005</v>
      </c>
      <c r="E45" s="1" t="n">
        <v>46269</v>
      </c>
      <c r="F45" t="inlineStr">
        <is>
          <t>KALMAR LÄN</t>
        </is>
      </c>
      <c r="G45" t="inlineStr">
        <is>
          <t>MÖRBYLÅNGA</t>
        </is>
      </c>
      <c r="I45" t="n">
        <v>0.9</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HYPERLINK("https://klasma.github.io/Logging_0840/artfynd/A 13384-2023 artfynd.xlsx", "A 13384-2023")</f>
        <v/>
      </c>
      <c r="X45">
        <f>HYPERLINK("https://klasma.github.io/Logging_0840/kartor/A 13384-2023 karta.png", "A 13384-2023")</f>
        <v/>
      </c>
      <c r="Y45">
        <f>HYPERLINK("https://klasma.github.io/Logging_0840/kartor_geotiff/A 13384-2023 georefererad karta.tif", "A 13384-2023")</f>
        <v/>
      </c>
      <c r="AA45">
        <f>HYPERLINK("https://klasma.github.io/Logging_0840/klagomål/A 13384-2023 FSC-klagomål.docx", "A 13384-2023")</f>
        <v/>
      </c>
      <c r="AB45">
        <f>HYPERLINK("https://klasma.github.io/Logging_0840/klagomålsmail/A 13384-2023 FSC-klagomål mail.docx", "A 13384-2023")</f>
        <v/>
      </c>
      <c r="AC45">
        <f>HYPERLINK("https://klasma.github.io/Logging_0840/tillsyn/A 13384-2023 tillsynsbegäran.docx", "A 13384-2023")</f>
        <v/>
      </c>
      <c r="AD45">
        <f>HYPERLINK("https://klasma.github.io/Logging_0840/tillsynsmail/A 13384-2023 tillsynsbegäran mail.docx", "A 13384-2023")</f>
        <v/>
      </c>
    </row>
    <row r="46" ht="15" customHeight="1">
      <c r="A46" t="inlineStr">
        <is>
          <t>A 62183-2025</t>
        </is>
      </c>
      <c r="B46" t="inlineStr">
        <is>
          <t>avverkningsanmälan</t>
        </is>
      </c>
      <c r="C46" t="inlineStr">
        <is>
          <t>Föryngringsavverkning</t>
        </is>
      </c>
      <c r="D46" s="1" t="n">
        <v>46006</v>
      </c>
      <c r="E46" s="1" t="n">
        <v>46269</v>
      </c>
      <c r="F46" t="inlineStr">
        <is>
          <t>KALMAR LÄN</t>
        </is>
      </c>
      <c r="G46" t="inlineStr">
        <is>
          <t>MÖRBYLÅNGA</t>
        </is>
      </c>
      <c r="I46" t="n">
        <v>0.8</v>
      </c>
      <c r="J46" t="n">
        <v>0</v>
      </c>
      <c r="K46" t="n">
        <v>0</v>
      </c>
      <c r="L46" t="n">
        <v>1</v>
      </c>
      <c r="M46" t="n">
        <v>0</v>
      </c>
      <c r="N46" t="n">
        <v>0</v>
      </c>
      <c r="O46" t="n">
        <v>0</v>
      </c>
      <c r="P46" t="n">
        <v>0</v>
      </c>
      <c r="Q46" t="n">
        <v>1</v>
      </c>
      <c r="R46" t="n">
        <v>0</v>
      </c>
      <c r="S46" t="n">
        <v>1</v>
      </c>
      <c r="T46" t="n">
        <v>1</v>
      </c>
      <c r="U46" t="n">
        <v>0</v>
      </c>
      <c r="V46" s="2" t="inlineStr">
        <is>
          <t>Kösa</t>
        </is>
      </c>
      <c r="W46">
        <f>HYPERLINK("https://klasma.github.io/Logging_0840/artfynd/A 62183-2025 artfynd.xlsx", "A 62183-2025")</f>
        <v/>
      </c>
      <c r="X46">
        <f>HYPERLINK("https://klasma.github.io/Logging_0840/kartor/A 62183-2025 karta.png", "A 62183-2025")</f>
        <v/>
      </c>
      <c r="Y46">
        <f>HYPERLINK("https://klasma.github.io/Logging_0840/kartor_geotiff/A 62183-2025 georefererad karta.tif", "A 62183-2025")</f>
        <v/>
      </c>
      <c r="AA46">
        <f>HYPERLINK("https://klasma.github.io/Logging_0840/klagomål/A 62183-2025 FSC-klagomål.docx", "A 62183-2025")</f>
        <v/>
      </c>
      <c r="AB46">
        <f>HYPERLINK("https://klasma.github.io/Logging_0840/klagomålsmail/A 62183-2025 FSC-klagomål mail.docx", "A 62183-2025")</f>
        <v/>
      </c>
      <c r="AC46">
        <f>HYPERLINK("https://klasma.github.io/Logging_0840/tillsyn/A 62183-2025 tillsynsbegäran.docx", "A 62183-2025")</f>
        <v/>
      </c>
      <c r="AD46">
        <f>HYPERLINK("https://klasma.github.io/Logging_0840/tillsynsmail/A 62183-2025 tillsynsbegäran mail.docx", "A 62183-2025")</f>
        <v/>
      </c>
    </row>
    <row r="47" ht="15" customHeight="1">
      <c r="A47" t="inlineStr">
        <is>
          <t>A 30492-2026</t>
        </is>
      </c>
      <c r="B47" t="inlineStr">
        <is>
          <t>avverkningsanmälan</t>
        </is>
      </c>
      <c r="C47" t="inlineStr">
        <is>
          <t>Avverkning för annat ändamål</t>
        </is>
      </c>
      <c r="D47" s="1" t="n">
        <v>46210</v>
      </c>
      <c r="E47" s="1" t="n">
        <v>46269</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26876-2022</t>
        </is>
      </c>
      <c r="B48" t="inlineStr">
        <is>
          <t>avverkningsanmälan</t>
        </is>
      </c>
      <c r="C48" t="inlineStr">
        <is>
          <t>Avverkning för annat ändamål</t>
        </is>
      </c>
      <c r="D48" s="1" t="n">
        <v>44740</v>
      </c>
      <c r="E48" s="1" t="n">
        <v>46269</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46269</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46269</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2026-09-04T02:02:35Z</dcterms:created>
  <dcterms:modified xmlns:dcterms="http://purl.org/dc/terms/" xmlns:xsi="http://www.w3.org/2001/XMLSchema-instance" xsi:type="dcterms:W3CDTF">2026-09-04T02:02:35Z</dcterms:modified>
</cp:coreProperties>
</file>