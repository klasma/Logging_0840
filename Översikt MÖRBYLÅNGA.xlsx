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46267</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46267</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46267</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46267</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46267</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46267</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46267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46267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46267</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46267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46267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46267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46267</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46267</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46267</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46267</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46267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46267</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46267</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46267</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46267</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46267</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46267</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29360-2026</t>
        </is>
      </c>
      <c r="B41" t="inlineStr">
        <is>
          <t>avverkningsanmälan</t>
        </is>
      </c>
      <c r="C41" t="inlineStr">
        <is>
          <t>Avverkning för annat ändamål</t>
        </is>
      </c>
      <c r="D41" s="1" t="n">
        <v>46203</v>
      </c>
      <c r="E41" s="1" t="n">
        <v>46267</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46267</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46267</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46267</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46267</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46267</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24698-2023</t>
        </is>
      </c>
      <c r="B47" t="inlineStr">
        <is>
          <t>avverkningsanmälan</t>
        </is>
      </c>
      <c r="C47" t="inlineStr">
        <is>
          <t>Föryngringsavverkning</t>
        </is>
      </c>
      <c r="D47" s="1" t="n">
        <v>45084</v>
      </c>
      <c r="E47" s="1" t="n">
        <v>46267</v>
      </c>
      <c r="F47" t="inlineStr">
        <is>
          <t>KALMAR LÄN</t>
        </is>
      </c>
      <c r="G47" t="inlineStr">
        <is>
          <t>MÖRBYLÅNGA</t>
        </is>
      </c>
      <c r="I47" t="n">
        <v>5.5</v>
      </c>
      <c r="J47" t="n">
        <v>0</v>
      </c>
      <c r="K47" t="n">
        <v>0</v>
      </c>
      <c r="L47" t="n">
        <v>1</v>
      </c>
      <c r="M47" t="n">
        <v>0</v>
      </c>
      <c r="N47" t="n">
        <v>0</v>
      </c>
      <c r="O47" t="n">
        <v>0</v>
      </c>
      <c r="P47" t="n">
        <v>0</v>
      </c>
      <c r="Q47" t="n">
        <v>1</v>
      </c>
      <c r="R47" t="n">
        <v>0</v>
      </c>
      <c r="S47" t="n">
        <v>1</v>
      </c>
      <c r="T47" t="n">
        <v>1</v>
      </c>
      <c r="U47" t="n">
        <v>1</v>
      </c>
      <c r="V47" s="2" t="inlineStr">
        <is>
          <t>Sårläka</t>
        </is>
      </c>
      <c r="W47">
        <f>HYPERLINK("https://klasma.github.io/Logging_0840/artfynd/A 24698-2023 artfynd.xlsx", "A 24698-2023")</f>
        <v/>
      </c>
      <c r="X47">
        <f>HYPERLINK("https://klasma.github.io/Logging_0840/kartor/A 24698-2023 karta.png", "A 24698-2023")</f>
        <v/>
      </c>
      <c r="Y47">
        <f>HYPERLINK("https://klasma.github.io/Logging_0840/kartor_geotiff/A 24698-2023 georefererad karta.tif", "A 24698-2023")</f>
        <v/>
      </c>
      <c r="AA47">
        <f>HYPERLINK("https://klasma.github.io/Logging_0840/klagomål/A 24698-2023 FSC-klagomål.docx", "A 24698-2023")</f>
        <v/>
      </c>
      <c r="AB47">
        <f>HYPERLINK("https://klasma.github.io/Logging_0840/klagomålsmail/A 24698-2023 FSC-klagomål mail.docx", "A 24698-2023")</f>
        <v/>
      </c>
      <c r="AC47">
        <f>HYPERLINK("https://klasma.github.io/Logging_0840/tillsyn/A 24698-2023 tillsynsbegäran.docx", "A 24698-2023")</f>
        <v/>
      </c>
      <c r="AD47">
        <f>HYPERLINK("https://klasma.github.io/Logging_0840/tillsynsmail/A 24698-2023 tillsynsbegäran mail.docx", "A 24698-2023")</f>
        <v/>
      </c>
    </row>
    <row r="48" ht="15" customHeight="1">
      <c r="A48" t="inlineStr">
        <is>
          <t>A 26876-2022</t>
        </is>
      </c>
      <c r="B48" t="inlineStr">
        <is>
          <t>avverkningsanmälan</t>
        </is>
      </c>
      <c r="C48" t="inlineStr">
        <is>
          <t>Avverkning för annat ändamål</t>
        </is>
      </c>
      <c r="D48" s="1" t="n">
        <v>44740</v>
      </c>
      <c r="E48" s="1" t="n">
        <v>46267</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46267</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46267</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2026-09-02T02:08:04Z</dcterms:created>
  <dcterms:modified xmlns:dcterms="http://purl.org/dc/terms/" xmlns:xsi="http://www.w3.org/2001/XMLSchema-instance" xsi:type="dcterms:W3CDTF">2026-09-02T02:08:04Z</dcterms:modified>
</cp:coreProperties>
</file>