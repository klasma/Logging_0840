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46090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46090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46090</v>
      </c>
      <c r="D4" t="inlineStr">
        <is>
          <t>KALMAR LÄN</t>
        </is>
      </c>
      <c r="E4" t="inlineStr">
        <is>
          <t>MÖRBYLÅNGA</t>
        </is>
      </c>
      <c r="G4" t="n">
        <v>3.4</v>
      </c>
      <c r="H4" t="n">
        <v>3</v>
      </c>
      <c r="I4" t="n">
        <v>1</v>
      </c>
      <c r="J4" t="n">
        <v>12</v>
      </c>
      <c r="K4" t="n">
        <v>1</v>
      </c>
      <c r="L4" t="n">
        <v>2</v>
      </c>
      <c r="M4" t="n">
        <v>1</v>
      </c>
      <c r="N4" t="n">
        <v>0</v>
      </c>
      <c r="O4" t="n">
        <v>17</v>
      </c>
      <c r="P4" t="n">
        <v>4</v>
      </c>
      <c r="Q4" t="n">
        <v>19</v>
      </c>
      <c r="R4" s="2" t="inlineStr">
        <is>
          <t>Lundalm
Ask
Stumpvingeharkrank
Knippnejlika
Achalcus bimaculatus
Backklöver
Blyvivel
Edwardsiana plebeja
Edwardsiana ulmiphagus
Gulbakig trädstyltfluga
Gulsparv
Hårjordstjärna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c r="Z4">
        <f>HYPERLINK("https://klasma.github.io/Logging_0840/fåglar/A 11163-2021 prioriterade fågelarter.docx", "A 11163-2021")</f>
        <v/>
      </c>
    </row>
    <row r="5" ht="15" customHeight="1">
      <c r="A5" t="inlineStr">
        <is>
          <t>A 21219-2023</t>
        </is>
      </c>
      <c r="B5" s="1" t="n">
        <v>45062</v>
      </c>
      <c r="C5" s="1" t="n">
        <v>46090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46090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agg.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46090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46090</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46090</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46090</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46090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46090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43714-2025</t>
        </is>
      </c>
      <c r="B13" s="1" t="n">
        <v>45912.40814814815</v>
      </c>
      <c r="C13" s="1" t="n">
        <v>46090</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39320-2024</t>
        </is>
      </c>
      <c r="B14" s="1" t="n">
        <v>45551</v>
      </c>
      <c r="C14" s="1" t="n">
        <v>46090</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60875-2025</t>
        </is>
      </c>
      <c r="B15" s="1" t="n">
        <v>45999.55524305555</v>
      </c>
      <c r="C15" s="1" t="n">
        <v>46090</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54167-2024</t>
        </is>
      </c>
      <c r="B16" s="1" t="n">
        <v>45616.62196759259</v>
      </c>
      <c r="C16" s="1" t="n">
        <v>46090</v>
      </c>
      <c r="D16" t="inlineStr">
        <is>
          <t>KALMAR LÄN</t>
        </is>
      </c>
      <c r="E16" t="inlineStr">
        <is>
          <t>MÖRBYLÅNGA</t>
        </is>
      </c>
      <c r="G16" t="n">
        <v>1.5</v>
      </c>
      <c r="H16" t="n">
        <v>2</v>
      </c>
      <c r="I16" t="n">
        <v>2</v>
      </c>
      <c r="J16" t="n">
        <v>0</v>
      </c>
      <c r="K16" t="n">
        <v>0</v>
      </c>
      <c r="L16" t="n">
        <v>1</v>
      </c>
      <c r="M16" t="n">
        <v>0</v>
      </c>
      <c r="N16" t="n">
        <v>0</v>
      </c>
      <c r="O16" t="n">
        <v>1</v>
      </c>
      <c r="P16" t="n">
        <v>1</v>
      </c>
      <c r="Q16" t="n">
        <v>4</v>
      </c>
      <c r="R16" s="2" t="inlineStr">
        <is>
          <t>Ask
Murgröna
Tvåblad
Blåsippa</t>
        </is>
      </c>
      <c r="S16">
        <f>HYPERLINK("https://klasma.github.io/Logging_0840/artfynd/A 54167-2024 artfynd.xlsx", "A 54167-2024")</f>
        <v/>
      </c>
      <c r="T16">
        <f>HYPERLINK("https://klasma.github.io/Logging_0840/kartor/A 54167-2024 karta.png", "A 54167-2024")</f>
        <v/>
      </c>
      <c r="V16">
        <f>HYPERLINK("https://klasma.github.io/Logging_0840/klagomål/A 54167-2024 FSC-klagomål.docx", "A 54167-2024")</f>
        <v/>
      </c>
      <c r="W16">
        <f>HYPERLINK("https://klasma.github.io/Logging_0840/klagomålsmail/A 54167-2024 FSC-klagomål mail.docx", "A 54167-2024")</f>
        <v/>
      </c>
      <c r="X16">
        <f>HYPERLINK("https://klasma.github.io/Logging_0840/tillsyn/A 54167-2024 tillsynsbegäran.docx", "A 54167-2024")</f>
        <v/>
      </c>
      <c r="Y16">
        <f>HYPERLINK("https://klasma.github.io/Logging_0840/tillsynsmail/A 54167-2024 tillsynsbegäran mail.docx", "A 54167-2024")</f>
        <v/>
      </c>
    </row>
    <row r="17" ht="15" customHeight="1">
      <c r="A17" t="inlineStr">
        <is>
          <t>A 52906-2021</t>
        </is>
      </c>
      <c r="B17" s="1" t="n">
        <v>44467</v>
      </c>
      <c r="C17" s="1" t="n">
        <v>46090</v>
      </c>
      <c r="D17" t="inlineStr">
        <is>
          <t>KALMAR LÄN</t>
        </is>
      </c>
      <c r="E17" t="inlineStr">
        <is>
          <t>MÖRBYLÅNGA</t>
        </is>
      </c>
      <c r="G17" t="n">
        <v>2.1</v>
      </c>
      <c r="H17" t="n">
        <v>2</v>
      </c>
      <c r="I17" t="n">
        <v>1</v>
      </c>
      <c r="J17" t="n">
        <v>2</v>
      </c>
      <c r="K17" t="n">
        <v>0</v>
      </c>
      <c r="L17" t="n">
        <v>0</v>
      </c>
      <c r="M17" t="n">
        <v>0</v>
      </c>
      <c r="N17" t="n">
        <v>0</v>
      </c>
      <c r="O17" t="n">
        <v>2</v>
      </c>
      <c r="P17" t="n">
        <v>0</v>
      </c>
      <c r="Q17" t="n">
        <v>3</v>
      </c>
      <c r="R17" s="2" t="inlineStr">
        <is>
          <t>Gulsparv
Rödvingetrast
Lindspindling</t>
        </is>
      </c>
      <c r="S17">
        <f>HYPERLINK("https://klasma.github.io/Logging_0840/artfynd/A 52906-2021 artfynd.xlsx", "A 52906-2021")</f>
        <v/>
      </c>
      <c r="T17">
        <f>HYPERLINK("https://klasma.github.io/Logging_0840/kartor/A 52906-2021 karta.png", "A 52906-2021")</f>
        <v/>
      </c>
      <c r="V17">
        <f>HYPERLINK("https://klasma.github.io/Logging_0840/klagomål/A 52906-2021 FSC-klagomål.docx", "A 52906-2021")</f>
        <v/>
      </c>
      <c r="W17">
        <f>HYPERLINK("https://klasma.github.io/Logging_0840/klagomålsmail/A 52906-2021 FSC-klagomål mail.docx", "A 52906-2021")</f>
        <v/>
      </c>
      <c r="X17">
        <f>HYPERLINK("https://klasma.github.io/Logging_0840/tillsyn/A 52906-2021 tillsynsbegäran.docx", "A 52906-2021")</f>
        <v/>
      </c>
      <c r="Y17">
        <f>HYPERLINK("https://klasma.github.io/Logging_0840/tillsynsmail/A 52906-2021 tillsynsbegäran mail.docx", "A 52906-2021")</f>
        <v/>
      </c>
      <c r="Z17">
        <f>HYPERLINK("https://klasma.github.io/Logging_0840/fåglar/A 52906-2021 prioriterade fågelarter.docx", "A 52906-2021")</f>
        <v/>
      </c>
    </row>
    <row r="18" ht="15" customHeight="1">
      <c r="A18" t="inlineStr">
        <is>
          <t>A 35242-2024</t>
        </is>
      </c>
      <c r="B18" s="1" t="n">
        <v>45530.55440972222</v>
      </c>
      <c r="C18" s="1" t="n">
        <v>46090</v>
      </c>
      <c r="D18" t="inlineStr">
        <is>
          <t>KALMAR LÄN</t>
        </is>
      </c>
      <c r="E18" t="inlineStr">
        <is>
          <t>MÖRBYLÅNGA</t>
        </is>
      </c>
      <c r="G18" t="n">
        <v>0.9</v>
      </c>
      <c r="H18" t="n">
        <v>1</v>
      </c>
      <c r="I18" t="n">
        <v>2</v>
      </c>
      <c r="J18" t="n">
        <v>0</v>
      </c>
      <c r="K18" t="n">
        <v>0</v>
      </c>
      <c r="L18" t="n">
        <v>1</v>
      </c>
      <c r="M18" t="n">
        <v>0</v>
      </c>
      <c r="N18" t="n">
        <v>0</v>
      </c>
      <c r="O18" t="n">
        <v>1</v>
      </c>
      <c r="P18" t="n">
        <v>1</v>
      </c>
      <c r="Q18" t="n">
        <v>3</v>
      </c>
      <c r="R18" s="2" t="inlineStr">
        <is>
          <t>Ryl
Grönpyrola
Skogsknipprot</t>
        </is>
      </c>
      <c r="S18">
        <f>HYPERLINK("https://klasma.github.io/Logging_0840/artfynd/A 35242-2024 artfynd.xlsx", "A 35242-2024")</f>
        <v/>
      </c>
      <c r="T18">
        <f>HYPERLINK("https://klasma.github.io/Logging_0840/kartor/A 35242-2024 karta.png", "A 35242-2024")</f>
        <v/>
      </c>
      <c r="V18">
        <f>HYPERLINK("https://klasma.github.io/Logging_0840/klagomål/A 35242-2024 FSC-klagomål.docx", "A 35242-2024")</f>
        <v/>
      </c>
      <c r="W18">
        <f>HYPERLINK("https://klasma.github.io/Logging_0840/klagomålsmail/A 35242-2024 FSC-klagomål mail.docx", "A 35242-2024")</f>
        <v/>
      </c>
      <c r="X18">
        <f>HYPERLINK("https://klasma.github.io/Logging_0840/tillsyn/A 35242-2024 tillsynsbegäran.docx", "A 35242-2024")</f>
        <v/>
      </c>
      <c r="Y18">
        <f>HYPERLINK("https://klasma.github.io/Logging_0840/tillsynsmail/A 35242-2024 tillsynsbegäran mail.docx", "A 35242-2024")</f>
        <v/>
      </c>
    </row>
    <row r="19" ht="15" customHeight="1">
      <c r="A19" t="inlineStr">
        <is>
          <t>A 2864-2026</t>
        </is>
      </c>
      <c r="B19" s="1" t="n">
        <v>46038</v>
      </c>
      <c r="C19" s="1" t="n">
        <v>46090</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61963-2025</t>
        </is>
      </c>
      <c r="B20" s="1" t="n">
        <v>46003</v>
      </c>
      <c r="C20" s="1" t="n">
        <v>46090</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62231-2023</t>
        </is>
      </c>
      <c r="B21" s="1" t="n">
        <v>45267</v>
      </c>
      <c r="C21" s="1" t="n">
        <v>46090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46090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46090</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46090</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46090</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46090</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43702-2025</t>
        </is>
      </c>
      <c r="B27" s="1" t="n">
        <v>45912.40270833333</v>
      </c>
      <c r="C27" s="1" t="n">
        <v>46090</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46090</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19459-2023</t>
        </is>
      </c>
      <c r="B29" s="1" t="n">
        <v>45049</v>
      </c>
      <c r="C29" s="1" t="n">
        <v>46090</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26876-2022</t>
        </is>
      </c>
      <c r="B30" s="1" t="n">
        <v>44740</v>
      </c>
      <c r="C30" s="1" t="n">
        <v>46090</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46090</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46090</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62183-2025</t>
        </is>
      </c>
      <c r="B33" s="1" t="n">
        <v>46006.5356712963</v>
      </c>
      <c r="C33" s="1" t="n">
        <v>46090</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13040-2024</t>
        </is>
      </c>
      <c r="B34" s="1" t="n">
        <v>45385</v>
      </c>
      <c r="C34" s="1" t="n">
        <v>46090</v>
      </c>
      <c r="D34" t="inlineStr">
        <is>
          <t>KALMAR LÄN</t>
        </is>
      </c>
      <c r="E34" t="inlineStr">
        <is>
          <t>MÖRBYLÅNGA</t>
        </is>
      </c>
      <c r="G34" t="n">
        <v>1.2</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46090</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ht="15" customHeight="1">
      <c r="A36" t="inlineStr">
        <is>
          <t>A 13384-2023</t>
        </is>
      </c>
      <c r="B36" s="1" t="n">
        <v>45005</v>
      </c>
      <c r="C36" s="1" t="n">
        <v>46090</v>
      </c>
      <c r="D36" t="inlineStr">
        <is>
          <t>KALMAR LÄN</t>
        </is>
      </c>
      <c r="E36" t="inlineStr">
        <is>
          <t>MÖRBYLÅNGA</t>
        </is>
      </c>
      <c r="G36" t="n">
        <v>0.9</v>
      </c>
      <c r="H36" t="n">
        <v>0</v>
      </c>
      <c r="I36" t="n">
        <v>0</v>
      </c>
      <c r="J36" t="n">
        <v>0</v>
      </c>
      <c r="K36" t="n">
        <v>0</v>
      </c>
      <c r="L36" t="n">
        <v>0</v>
      </c>
      <c r="M36" t="n">
        <v>0</v>
      </c>
      <c r="N36" t="n">
        <v>0</v>
      </c>
      <c r="O36" t="n">
        <v>0</v>
      </c>
      <c r="P36" t="n">
        <v>0</v>
      </c>
      <c r="Q36" t="n">
        <v>0</v>
      </c>
      <c r="R36" s="2" t="inlineStr"/>
    </row>
    <row r="37">
      <c r="A37" t="inlineStr">
        <is>
          <t>A 72167-2021</t>
        </is>
      </c>
      <c r="B37" s="1" t="n">
        <v>44544</v>
      </c>
      <c r="C37" s="1" t="n">
        <v>46090</v>
      </c>
      <c r="D37" t="inlineStr">
        <is>
          <t>KALMAR LÄN</t>
        </is>
      </c>
      <c r="E37" t="inlineStr">
        <is>
          <t>MÖRBYLÅNGA</t>
        </is>
      </c>
      <c r="G37" t="n">
        <v>3.5</v>
      </c>
      <c r="H37" t="n">
        <v>0</v>
      </c>
      <c r="I37" t="n">
        <v>0</v>
      </c>
      <c r="J37" t="n">
        <v>0</v>
      </c>
      <c r="K37" t="n">
        <v>0</v>
      </c>
      <c r="L37" t="n">
        <v>0</v>
      </c>
      <c r="M37" t="n">
        <v>0</v>
      </c>
      <c r="N37" t="n">
        <v>0</v>
      </c>
      <c r="O37" t="n">
        <v>0</v>
      </c>
      <c r="P37" t="n">
        <v>0</v>
      </c>
      <c r="Q37" t="n">
        <v>0</v>
      </c>
      <c r="R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2026-03-09T11:14:49Z</dcterms:created>
  <dcterms:modified xmlns:dcterms="http://purl.org/dc/terms/" xmlns:xsi="http://www.w3.org/2001/XMLSchema-instance" xsi:type="dcterms:W3CDTF">2026-03-09T11:14:49Z</dcterms:modified>
</cp:coreProperties>
</file>