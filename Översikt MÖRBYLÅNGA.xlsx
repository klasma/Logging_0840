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45882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45882</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45882</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45882</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65163-2020</t>
        </is>
      </c>
      <c r="B6" s="1" t="n">
        <v>44172</v>
      </c>
      <c r="C6" s="1" t="n">
        <v>45882</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45882</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45882</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21219-2023</t>
        </is>
      </c>
      <c r="B9" s="1" t="n">
        <v>45062</v>
      </c>
      <c r="C9" s="1" t="n">
        <v>45882</v>
      </c>
      <c r="D9" t="inlineStr">
        <is>
          <t>KALMAR LÄN</t>
        </is>
      </c>
      <c r="E9" t="inlineStr">
        <is>
          <t>MÖRBYLÅNGA</t>
        </is>
      </c>
      <c r="G9" t="n">
        <v>2.6</v>
      </c>
      <c r="H9" t="n">
        <v>2</v>
      </c>
      <c r="I9" t="n">
        <v>5</v>
      </c>
      <c r="J9" t="n">
        <v>1</v>
      </c>
      <c r="K9" t="n">
        <v>0</v>
      </c>
      <c r="L9" t="n">
        <v>1</v>
      </c>
      <c r="M9" t="n">
        <v>0</v>
      </c>
      <c r="N9" t="n">
        <v>0</v>
      </c>
      <c r="O9" t="n">
        <v>2</v>
      </c>
      <c r="P9" t="n">
        <v>1</v>
      </c>
      <c r="Q9" t="n">
        <v>9</v>
      </c>
      <c r="R9" s="2" t="inlineStr">
        <is>
          <t>Ask
Olivbrun spindling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row>
    <row r="10" ht="15" customHeight="1">
      <c r="A10" t="inlineStr">
        <is>
          <t>A 63779-2021</t>
        </is>
      </c>
      <c r="B10" s="1" t="n">
        <v>44508</v>
      </c>
      <c r="C10" s="1" t="n">
        <v>45882</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45882</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27636-2023</t>
        </is>
      </c>
      <c r="B12" s="1" t="n">
        <v>45097</v>
      </c>
      <c r="C12" s="1" t="n">
        <v>45882</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24778-2022</t>
        </is>
      </c>
      <c r="B13" s="1" t="n">
        <v>44728</v>
      </c>
      <c r="C13" s="1" t="n">
        <v>45882</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45882</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45882</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45882</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45882</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45882</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45882</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45882</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45882</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45882</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45882</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42694-2020</t>
        </is>
      </c>
      <c r="B24" s="1" t="n">
        <v>44077</v>
      </c>
      <c r="C24" s="1" t="n">
        <v>45882</v>
      </c>
      <c r="D24" t="inlineStr">
        <is>
          <t>KALMAR LÄN</t>
        </is>
      </c>
      <c r="E24" t="inlineStr">
        <is>
          <t>MÖRBYLÅNGA</t>
        </is>
      </c>
      <c r="G24" t="n">
        <v>0.9</v>
      </c>
      <c r="H24" t="n">
        <v>0</v>
      </c>
      <c r="I24" t="n">
        <v>0</v>
      </c>
      <c r="J24" t="n">
        <v>0</v>
      </c>
      <c r="K24" t="n">
        <v>1</v>
      </c>
      <c r="L24" t="n">
        <v>0</v>
      </c>
      <c r="M24" t="n">
        <v>0</v>
      </c>
      <c r="N24" t="n">
        <v>0</v>
      </c>
      <c r="O24" t="n">
        <v>1</v>
      </c>
      <c r="P24" t="n">
        <v>1</v>
      </c>
      <c r="Q24" t="n">
        <v>1</v>
      </c>
      <c r="R24" s="2" t="inlineStr">
        <is>
          <t>Gaffelfibbla</t>
        </is>
      </c>
      <c r="S24">
        <f>HYPERLINK("https://klasma.github.io/Logging_0840/artfynd/A 42694-2020 artfynd.xlsx", "A 42694-2020")</f>
        <v/>
      </c>
      <c r="T24">
        <f>HYPERLINK("https://klasma.github.io/Logging_0840/kartor/A 42694-2020 karta.png", "A 42694-2020")</f>
        <v/>
      </c>
      <c r="V24">
        <f>HYPERLINK("https://klasma.github.io/Logging_0840/klagomål/A 42694-2020 FSC-klagomål.docx", "A 42694-2020")</f>
        <v/>
      </c>
      <c r="W24">
        <f>HYPERLINK("https://klasma.github.io/Logging_0840/klagomålsmail/A 42694-2020 FSC-klagomål mail.docx", "A 42694-2020")</f>
        <v/>
      </c>
      <c r="X24">
        <f>HYPERLINK("https://klasma.github.io/Logging_0840/tillsyn/A 42694-2020 tillsynsbegäran.docx", "A 42694-2020")</f>
        <v/>
      </c>
      <c r="Y24">
        <f>HYPERLINK("https://klasma.github.io/Logging_0840/tillsynsmail/A 42694-2020 tillsynsbegäran mail.docx", "A 42694-2020")</f>
        <v/>
      </c>
    </row>
    <row r="25" ht="15" customHeight="1">
      <c r="A25" t="inlineStr">
        <is>
          <t>A 54192-2021</t>
        </is>
      </c>
      <c r="B25" s="1" t="n">
        <v>44470</v>
      </c>
      <c r="C25" s="1" t="n">
        <v>45882</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45882</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45882</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45882</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45882</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45882</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45882</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61865-2020</t>
        </is>
      </c>
      <c r="B32" s="1" t="n">
        <v>44155</v>
      </c>
      <c r="C32" s="1" t="n">
        <v>45882</v>
      </c>
      <c r="D32" t="inlineStr">
        <is>
          <t>KALMAR LÄN</t>
        </is>
      </c>
      <c r="E32" t="inlineStr">
        <is>
          <t>MÖRBYLÅNGA</t>
        </is>
      </c>
      <c r="G32" t="n">
        <v>5</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45882</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c r="A34" t="inlineStr">
        <is>
          <t>A 72167-2021</t>
        </is>
      </c>
      <c r="B34" s="1" t="n">
        <v>44544</v>
      </c>
      <c r="C34" s="1" t="n">
        <v>45882</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2025-08-13T08:27:26Z</dcterms:created>
  <dcterms:modified xmlns:dcterms="http://purl.org/dc/terms/" xmlns:xsi="http://www.w3.org/2001/XMLSchema-instance" xsi:type="dcterms:W3CDTF">2025-08-13T08:27:26Z</dcterms:modified>
</cp:coreProperties>
</file>