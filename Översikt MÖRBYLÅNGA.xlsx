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46126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46126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46126</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46126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46126</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46126</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46126</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46126</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27636-2023</t>
        </is>
      </c>
      <c r="B10" s="1" t="n">
        <v>45097</v>
      </c>
      <c r="C10" s="1" t="n">
        <v>46126</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27636-2023 artfynd.xlsx", "A 27636-2023")</f>
        <v/>
      </c>
      <c r="T10">
        <f>HYPERLINK("https://klasma.github.io/Logging_0840/kartor/A 27636-2023 karta.png", "A 27636-2023")</f>
        <v/>
      </c>
      <c r="V10">
        <f>HYPERLINK("https://klasma.github.io/Logging_0840/klagomål/A 27636-2023 FSC-klagomål.docx", "A 27636-2023")</f>
        <v/>
      </c>
      <c r="W10">
        <f>HYPERLINK("https://klasma.github.io/Logging_0840/klagomålsmail/A 27636-2023 FSC-klagomål mail.docx", "A 27636-2023")</f>
        <v/>
      </c>
      <c r="X10">
        <f>HYPERLINK("https://klasma.github.io/Logging_0840/tillsyn/A 27636-2023 tillsynsbegäran.docx", "A 27636-2023")</f>
        <v/>
      </c>
      <c r="Y10">
        <f>HYPERLINK("https://klasma.github.io/Logging_0840/tillsynsmail/A 27636-2023 tillsynsbegäran mail.docx", "A 27636-2023")</f>
        <v/>
      </c>
    </row>
    <row r="11" ht="15" customHeight="1">
      <c r="A11" t="inlineStr">
        <is>
          <t>A 38039-2022</t>
        </is>
      </c>
      <c r="B11" s="1" t="n">
        <v>44811</v>
      </c>
      <c r="C11" s="1" t="n">
        <v>46126</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43714-2025</t>
        </is>
      </c>
      <c r="B12" s="1" t="n">
        <v>45912.40814814815</v>
      </c>
      <c r="C12" s="1" t="n">
        <v>46126</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46126</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60875-2025</t>
        </is>
      </c>
      <c r="B14" s="1" t="n">
        <v>45999.55524305555</v>
      </c>
      <c r="C14" s="1" t="n">
        <v>46126</v>
      </c>
      <c r="D14" t="inlineStr">
        <is>
          <t>KALMAR LÄN</t>
        </is>
      </c>
      <c r="E14" t="inlineStr">
        <is>
          <t>MÖRBYLÅNGA</t>
        </is>
      </c>
      <c r="G14" t="n">
        <v>2.1</v>
      </c>
      <c r="H14" t="n">
        <v>3</v>
      </c>
      <c r="I14" t="n">
        <v>0</v>
      </c>
      <c r="J14" t="n">
        <v>4</v>
      </c>
      <c r="K14" t="n">
        <v>0</v>
      </c>
      <c r="L14" t="n">
        <v>0</v>
      </c>
      <c r="M14" t="n">
        <v>0</v>
      </c>
      <c r="N14" t="n">
        <v>0</v>
      </c>
      <c r="O14" t="n">
        <v>4</v>
      </c>
      <c r="P14" t="n">
        <v>0</v>
      </c>
      <c r="Q14" t="n">
        <v>4</v>
      </c>
      <c r="R14" s="2" t="inlineStr">
        <is>
          <t>Grönsångare
Gulsparv
Kråka
Svinrot</t>
        </is>
      </c>
      <c r="S14">
        <f>HYPERLINK("https://klasma.github.io/Logging_0840/artfynd/A 60875-2025 artfynd.xlsx", "A 60875-2025")</f>
        <v/>
      </c>
      <c r="T14">
        <f>HYPERLINK("https://klasma.github.io/Logging_0840/kartor/A 60875-2025 karta.png", "A 60875-2025")</f>
        <v/>
      </c>
      <c r="V14">
        <f>HYPERLINK("https://klasma.github.io/Logging_0840/klagomål/A 60875-2025 FSC-klagomål.docx", "A 60875-2025")</f>
        <v/>
      </c>
      <c r="W14">
        <f>HYPERLINK("https://klasma.github.io/Logging_0840/klagomålsmail/A 60875-2025 FSC-klagomål mail.docx", "A 60875-2025")</f>
        <v/>
      </c>
      <c r="X14">
        <f>HYPERLINK("https://klasma.github.io/Logging_0840/tillsyn/A 60875-2025 tillsynsbegäran.docx", "A 60875-2025")</f>
        <v/>
      </c>
      <c r="Y14">
        <f>HYPERLINK("https://klasma.github.io/Logging_0840/tillsynsmail/A 60875-2025 tillsynsbegäran mail.docx", "A 60875-2025")</f>
        <v/>
      </c>
      <c r="Z14">
        <f>HYPERLINK("https://klasma.github.io/Logging_0840/fåglar/A 60875-2025 prioriterade fågelarter.docx", "A 60875-2025")</f>
        <v/>
      </c>
    </row>
    <row r="15" ht="15" customHeight="1">
      <c r="A15" t="inlineStr">
        <is>
          <t>A 54167-2024</t>
        </is>
      </c>
      <c r="B15" s="1" t="n">
        <v>45616.62196759259</v>
      </c>
      <c r="C15" s="1" t="n">
        <v>46126</v>
      </c>
      <c r="D15" t="inlineStr">
        <is>
          <t>KALMAR LÄN</t>
        </is>
      </c>
      <c r="E15" t="inlineStr">
        <is>
          <t>MÖRBYLÅNGA</t>
        </is>
      </c>
      <c r="G15" t="n">
        <v>1.5</v>
      </c>
      <c r="H15" t="n">
        <v>2</v>
      </c>
      <c r="I15" t="n">
        <v>2</v>
      </c>
      <c r="J15" t="n">
        <v>0</v>
      </c>
      <c r="K15" t="n">
        <v>0</v>
      </c>
      <c r="L15" t="n">
        <v>1</v>
      </c>
      <c r="M15" t="n">
        <v>0</v>
      </c>
      <c r="N15" t="n">
        <v>0</v>
      </c>
      <c r="O15" t="n">
        <v>1</v>
      </c>
      <c r="P15" t="n">
        <v>1</v>
      </c>
      <c r="Q15" t="n">
        <v>4</v>
      </c>
      <c r="R15" s="2" t="inlineStr">
        <is>
          <t>Ask
Murgröna
Tvåblad
Blåsippa</t>
        </is>
      </c>
      <c r="S15">
        <f>HYPERLINK("https://klasma.github.io/Logging_0840/artfynd/A 54167-2024 artfynd.xlsx", "A 54167-2024")</f>
        <v/>
      </c>
      <c r="T15">
        <f>HYPERLINK("https://klasma.github.io/Logging_0840/kartor/A 54167-2024 karta.png", "A 54167-2024")</f>
        <v/>
      </c>
      <c r="V15">
        <f>HYPERLINK("https://klasma.github.io/Logging_0840/klagomål/A 54167-2024 FSC-klagomål.docx", "A 54167-2024")</f>
        <v/>
      </c>
      <c r="W15">
        <f>HYPERLINK("https://klasma.github.io/Logging_0840/klagomålsmail/A 54167-2024 FSC-klagomål mail.docx", "A 54167-2024")</f>
        <v/>
      </c>
      <c r="X15">
        <f>HYPERLINK("https://klasma.github.io/Logging_0840/tillsyn/A 54167-2024 tillsynsbegäran.docx", "A 54167-2024")</f>
        <v/>
      </c>
      <c r="Y15">
        <f>HYPERLINK("https://klasma.github.io/Logging_0840/tillsynsmail/A 54167-2024 tillsynsbegäran mail.docx", "A 54167-2024")</f>
        <v/>
      </c>
    </row>
    <row r="16" ht="15" customHeight="1">
      <c r="A16" t="inlineStr">
        <is>
          <t>A 52906-2021</t>
        </is>
      </c>
      <c r="B16" s="1" t="n">
        <v>44467</v>
      </c>
      <c r="C16" s="1" t="n">
        <v>46126</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46126</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46126</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46126</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40361-2023</t>
        </is>
      </c>
      <c r="B20" s="1" t="n">
        <v>45169</v>
      </c>
      <c r="C20" s="1" t="n">
        <v>46126</v>
      </c>
      <c r="D20" t="inlineStr">
        <is>
          <t>KALMAR LÄN</t>
        </is>
      </c>
      <c r="E20" t="inlineStr">
        <is>
          <t>MÖRBYLÅNGA</t>
        </is>
      </c>
      <c r="G20" t="n">
        <v>1.1</v>
      </c>
      <c r="H20" t="n">
        <v>0</v>
      </c>
      <c r="I20" t="n">
        <v>0</v>
      </c>
      <c r="J20" t="n">
        <v>1</v>
      </c>
      <c r="K20" t="n">
        <v>0</v>
      </c>
      <c r="L20" t="n">
        <v>0</v>
      </c>
      <c r="M20" t="n">
        <v>1</v>
      </c>
      <c r="N20" t="n">
        <v>0</v>
      </c>
      <c r="O20" t="n">
        <v>2</v>
      </c>
      <c r="P20" t="n">
        <v>1</v>
      </c>
      <c r="Q20" t="n">
        <v>2</v>
      </c>
      <c r="R20" s="2" t="inlineStr">
        <is>
          <t>Lundalm
Ängsskära</t>
        </is>
      </c>
      <c r="S20">
        <f>HYPERLINK("https://klasma.github.io/Logging_0840/artfynd/A 40361-2023 artfynd.xlsx", "A 40361-2023")</f>
        <v/>
      </c>
      <c r="T20">
        <f>HYPERLINK("https://klasma.github.io/Logging_0840/kartor/A 40361-2023 karta.png", "A 40361-2023")</f>
        <v/>
      </c>
      <c r="V20">
        <f>HYPERLINK("https://klasma.github.io/Logging_0840/klagomål/A 40361-2023 FSC-klagomål.docx", "A 40361-2023")</f>
        <v/>
      </c>
      <c r="W20">
        <f>HYPERLINK("https://klasma.github.io/Logging_0840/klagomålsmail/A 40361-2023 FSC-klagomål mail.docx", "A 40361-2023")</f>
        <v/>
      </c>
      <c r="X20">
        <f>HYPERLINK("https://klasma.github.io/Logging_0840/tillsyn/A 40361-2023 tillsynsbegäran.docx", "A 40361-2023")</f>
        <v/>
      </c>
      <c r="Y20">
        <f>HYPERLINK("https://klasma.github.io/Logging_0840/tillsynsmail/A 40361-2023 tillsynsbegäran mail.docx", "A 40361-2023")</f>
        <v/>
      </c>
    </row>
    <row r="21" ht="15" customHeight="1">
      <c r="A21" t="inlineStr">
        <is>
          <t>A 15600-2025</t>
        </is>
      </c>
      <c r="B21" s="1" t="n">
        <v>45747</v>
      </c>
      <c r="C21" s="1" t="n">
        <v>46126</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46126</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54192-2021</t>
        </is>
      </c>
      <c r="B23" s="1" t="n">
        <v>44470</v>
      </c>
      <c r="C23" s="1" t="n">
        <v>46126</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46126</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46126</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46126</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46126</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46126</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46126</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46126</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46126</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46126</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46126</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46126</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46126</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46126</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2026-04-14T10:32:25Z</dcterms:created>
  <dcterms:modified xmlns:dcterms="http://purl.org/dc/terms/" xmlns:xsi="http://www.w3.org/2001/XMLSchema-instance" xsi:type="dcterms:W3CDTF">2026-04-14T10:32:25Z</dcterms:modified>
</cp:coreProperties>
</file>